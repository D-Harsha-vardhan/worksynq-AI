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orkload_config" sheetId="2" state="visible" r:id="rId4"/>
    <sheet name="workload_history" sheetId="3" state="visible" r:id="rId5"/>
    <sheet name="rebalance_recommendations" sheetId="4" state="visible" r:id="rId6"/>
    <sheet name="rebalance_employee_impact" sheetId="5" state="visible" r:id="rId7"/>
    <sheet name="rebalance_log" sheetId="6" state="visible" r:id="rId8"/>
    <sheet name="workload_dashboard_summary" sheetId="7" state="visible" r:id="rId9"/>
    <sheet name="employee_skill_gaps" sheetId="8" state="visible" r:id="rId10"/>
    <sheet name="training_recommendations" sheetId="9" state="visible" r:id="rId11"/>
    <sheet name="course_enrollments" sheetId="10" state="visible" r:id="rId12"/>
    <sheet name="training_budget" sheetId="11" state="visible" r:id="rId13"/>
    <sheet name="skill_supply_vs_demand" sheetId="12" state="visible" r:id="rId14"/>
    <sheet name="skill_gap_dashboard_summary" sheetId="13" state="visible" r:id="rId15"/>
  </sheets>
  <definedNames>
    <definedName function="false" hidden="true" localSheetId="9" name="_xlnm._FilterDatabase" vbProcedure="false">course_enrollments!$A$1:$Q$27</definedName>
    <definedName function="false" hidden="true" localSheetId="7" name="_xlnm._FilterDatabase" vbProcedure="false">employee_skill_gaps!$A$1:$R$34</definedName>
    <definedName function="false" hidden="true" localSheetId="4" name="_xlnm._FilterDatabase" vbProcedure="false">rebalance_employee_impact!$A$1:$N$61</definedName>
    <definedName function="false" hidden="true" localSheetId="5" name="_xlnm._FilterDatabase" vbProcedure="false">rebalance_log!$A$1:$O$17</definedName>
    <definedName function="false" hidden="true" localSheetId="3" name="_xlnm._FilterDatabase" vbProcedure="false">rebalance_recommendations!$A$1:$W$11</definedName>
    <definedName function="false" hidden="true" localSheetId="11" name="_xlnm._FilterDatabase" vbProcedure="false">skill_supply_vs_demand!$A$1:$K$34</definedName>
    <definedName function="false" hidden="true" localSheetId="10" name="_xlnm._FilterDatabase" vbProcedure="false">training_budget!$A$1:$G$6</definedName>
    <definedName function="false" hidden="true" localSheetId="8" name="_xlnm._FilterDatabase" vbProcedure="false">training_recommendations!$A$1:$AC$34</definedName>
    <definedName function="false" hidden="true" localSheetId="1" name="_xlnm._FilterDatabase" vbProcedure="false">workload_config!$A$1:$C$8</definedName>
    <definedName function="false" hidden="true" localSheetId="2" name="_xlnm._FilterDatabase" vbProcedure="false">workload_history!$A$1:$M$541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<sst xmlns="http://schemas.openxmlformats.org/spreadsheetml/2006/main" count="4826" uniqueCount="824">
  <si>
    <t xml:space="preserve">Workforce Intelligence - Additional Datasets (Workload Rebalancing + Skill Gap &amp; Training)</t>
  </si>
  <si>
    <t xml:space="preserve">Built on top of Workforce_Intelligence_Datasets.xlsx - same employee_id / task_id / skill_id / course_id keys, reference date 15 Oct 2026, snapshot week 19 Oct 2026. Synthetic data.</t>
  </si>
  <si>
    <t xml:space="preserve">Sheet</t>
  </si>
  <si>
    <t xml:space="preserve">Widget</t>
  </si>
  <si>
    <t xml:space="preserve">Description</t>
  </si>
  <si>
    <t xml:space="preserve">workload_config</t>
  </si>
  <si>
    <t xml:space="preserve">Workload</t>
  </si>
  <si>
    <t xml:space="preserve">Thresholds (blue = editable inputs). Drives every bucket/percentage via formulas.</t>
  </si>
  <si>
    <t xml:space="preserve">workload_history</t>
  </si>
  <si>
    <t xml:space="preserve">60 employees x 9 weeks (24 Aug - 19 Oct): allocated vs capacity, bucket, movable/locked hours, overtime. Derived from task start dates.</t>
  </si>
  <si>
    <t xml:space="preserve">rebalance_recommendations</t>
  </si>
  <si>
    <t xml:space="preserve">Proposed task moves (what Auto-Rebalance Tasks would apply) with skill match score and before/after load.</t>
  </si>
  <si>
    <t xml:space="preserve">rebalance_employee_impact</t>
  </si>
  <si>
    <t xml:space="preserve">Per-employee before/after utilization (formulas) - feeds Over-utilized / Under-utilized staff lists.</t>
  </si>
  <si>
    <t xml:space="preserve">rebalance_log</t>
  </si>
  <si>
    <t xml:space="preserve">16 past rebalances with outcome - history / training data.</t>
  </si>
  <si>
    <t xml:space="preserve">workload_dashboard_summary</t>
  </si>
  <si>
    <t xml:space="preserve">Overloaded / Underutilized / Optimal counts and % (formulas), before and after rebalance.</t>
  </si>
  <si>
    <t xml:space="preserve">employee_skill_gaps</t>
  </si>
  <si>
    <t xml:space="preserve">Skill gap</t>
  </si>
  <si>
    <t xml:space="preserve">One row per employee x skill below the required level (current assignments + upcoming-project staffing).</t>
  </si>
  <si>
    <t xml:space="preserve">training_recommendations</t>
  </si>
  <si>
    <t xml:space="preserve">Course path or mentor per gap, priority score, capacity check, planned dates.</t>
  </si>
  <si>
    <t xml:space="preserve">course_enrollments</t>
  </si>
  <si>
    <t xml:space="preserve">In-progress and completed enrollments (in-progress rows mark gaps as "In training").</t>
  </si>
  <si>
    <t xml:space="preserve">training_budget</t>
  </si>
  <si>
    <t xml:space="preserve">Department budget vs spent / committed / pending (formulas). Annual budget is an assumed input.</t>
  </si>
  <si>
    <t xml:space="preserve">skill_supply_vs_demand</t>
  </si>
  <si>
    <t xml:space="preserve">Bench strength per skill required by active/upcoming projects.</t>
  </si>
  <si>
    <t xml:space="preserve">skill_gap_dashboard_summary</t>
  </si>
  <si>
    <t xml:space="preserve">Exact table layout of the screenshot: Skill | Gap | Recommended | Action (formulas).</t>
  </si>
  <si>
    <t xml:space="preserve">Assumptions: gap = required level - effective level (related skills count with similarity credit, e.g. AWS counts toward Cloud Computing). Upcoming-project candidates are people below 87.5% load who are 1-2 levels short or interested at 4+. Names in your screenshot (Ariel Sharma, Ravi Kumar) are not in the employee master, so real employees are used.</t>
  </si>
  <si>
    <t xml:space="preserve">parameter</t>
  </si>
  <si>
    <t xml:space="preserve">value</t>
  </si>
  <si>
    <t xml:space="preserve">notes</t>
  </si>
  <si>
    <t xml:space="preserve">overloaded_threshold_pct</t>
  </si>
  <si>
    <t xml:space="preserve">Utilization &gt;= this = Overloaded bucket (35 of 40 hrs). Tuned so the 60-person snapshot gives 15% / 12% / 73%. Change to re-bucket everything.</t>
  </si>
  <si>
    <t xml:space="preserve">underutilized_threshold_pct</t>
  </si>
  <si>
    <t xml:space="preserve">Utilization &lt; this = Underutilized</t>
  </si>
  <si>
    <t xml:space="preserve">target_util_after_rebalance_pct</t>
  </si>
  <si>
    <t xml:space="preserve">Rebalancer moves tasks out until the person is at or below this</t>
  </si>
  <si>
    <t xml:space="preserve">receiver_max_util_pct</t>
  </si>
  <si>
    <t xml:space="preserve">Preferred ceiling for a person receiving tasks (relaxed to 87 in a second pass)</t>
  </si>
  <si>
    <t xml:space="preserve">critical_threshold_pct</t>
  </si>
  <si>
    <t xml:space="preserve">Utilization above this = over capacity (critical)</t>
  </si>
  <si>
    <t xml:space="preserve">latest_snapshot_week</t>
  </si>
  <si>
    <t xml:space="preserve">2026-10-19</t>
  </si>
  <si>
    <t xml:space="preserve">Week used by dashboard summary</t>
  </si>
  <si>
    <t xml:space="preserve">team_size</t>
  </si>
  <si>
    <t xml:space="preserve">Employees in snapshot</t>
  </si>
  <si>
    <t xml:space="preserve">week_start</t>
  </si>
  <si>
    <t xml:space="preserve">week_type</t>
  </si>
  <si>
    <t xml:space="preserve">employee_id</t>
  </si>
  <si>
    <t xml:space="preserve">employee_name</t>
  </si>
  <si>
    <t xml:space="preserve">department</t>
  </si>
  <si>
    <t xml:space="preserve">allocated_hrs</t>
  </si>
  <si>
    <t xml:space="preserve">capacity_hrs</t>
  </si>
  <si>
    <t xml:space="preserve">utilization_pct</t>
  </si>
  <si>
    <t xml:space="preserve">load_bucket</t>
  </si>
  <si>
    <t xml:space="preserve">task_count</t>
  </si>
  <si>
    <t xml:space="preserve">movable_hrs</t>
  </si>
  <si>
    <t xml:space="preserve">locked_hrs</t>
  </si>
  <si>
    <t xml:space="preserve">overtime_hrs_logged</t>
  </si>
  <si>
    <t xml:space="preserve">2026-08-24</t>
  </si>
  <si>
    <t xml:space="preserve">actual</t>
  </si>
  <si>
    <t xml:space="preserve">E001</t>
  </si>
  <si>
    <t xml:space="preserve">Ravi Shankar</t>
  </si>
  <si>
    <t xml:space="preserve">Backend</t>
  </si>
  <si>
    <t xml:space="preserve">E002</t>
  </si>
  <si>
    <t xml:space="preserve">Anita Rao</t>
  </si>
  <si>
    <t xml:space="preserve">E003</t>
  </si>
  <si>
    <t xml:space="preserve">Karthik Subramanian</t>
  </si>
  <si>
    <t xml:space="preserve">E004</t>
  </si>
  <si>
    <t xml:space="preserve">Vikram Joshi</t>
  </si>
  <si>
    <t xml:space="preserve">E005</t>
  </si>
  <si>
    <t xml:space="preserve">Sandeep Kulkarni</t>
  </si>
  <si>
    <t xml:space="preserve">E006</t>
  </si>
  <si>
    <t xml:space="preserve">Pooja Bhat</t>
  </si>
  <si>
    <t xml:space="preserve">E007</t>
  </si>
  <si>
    <t xml:space="preserve">Harish Gowda</t>
  </si>
  <si>
    <t xml:space="preserve">E008</t>
  </si>
  <si>
    <t xml:space="preserve">Lakshmi Narayan</t>
  </si>
  <si>
    <t xml:space="preserve">E009</t>
  </si>
  <si>
    <t xml:space="preserve">Imran Sheikh</t>
  </si>
  <si>
    <t xml:space="preserve">E010</t>
  </si>
  <si>
    <t xml:space="preserve">Deepak Chauhan</t>
  </si>
  <si>
    <t xml:space="preserve">E011</t>
  </si>
  <si>
    <t xml:space="preserve">Shreya Pillai</t>
  </si>
  <si>
    <t xml:space="preserve">E012</t>
  </si>
  <si>
    <t xml:space="preserve">Manoj Kumar</t>
  </si>
  <si>
    <t xml:space="preserve">E013</t>
  </si>
  <si>
    <t xml:space="preserve">Tanvi Deshpande</t>
  </si>
  <si>
    <t xml:space="preserve">E014</t>
  </si>
  <si>
    <t xml:space="preserve">Rahul Verma</t>
  </si>
  <si>
    <t xml:space="preserve">E015</t>
  </si>
  <si>
    <t xml:space="preserve">Arjun Mehta</t>
  </si>
  <si>
    <t xml:space="preserve">Cloud &amp; DevOps</t>
  </si>
  <si>
    <t xml:space="preserve">E016</t>
  </si>
  <si>
    <t xml:space="preserve">Suresh Babu</t>
  </si>
  <si>
    <t xml:space="preserve">E017</t>
  </si>
  <si>
    <t xml:space="preserve">Nikhil Agarwal</t>
  </si>
  <si>
    <t xml:space="preserve">E018</t>
  </si>
  <si>
    <t xml:space="preserve">Fatima Khan</t>
  </si>
  <si>
    <t xml:space="preserve">E019</t>
  </si>
  <si>
    <t xml:space="preserve">Gautham Prabhu</t>
  </si>
  <si>
    <t xml:space="preserve">E020</t>
  </si>
  <si>
    <t xml:space="preserve">Swathi Hegde</t>
  </si>
  <si>
    <t xml:space="preserve">E021</t>
  </si>
  <si>
    <t xml:space="preserve">Abhishek Tiwari</t>
  </si>
  <si>
    <t xml:space="preserve">E022</t>
  </si>
  <si>
    <t xml:space="preserve">Rekha Murthy</t>
  </si>
  <si>
    <t xml:space="preserve">E023</t>
  </si>
  <si>
    <t xml:space="preserve">Yash Malhotra</t>
  </si>
  <si>
    <t xml:space="preserve">E024</t>
  </si>
  <si>
    <t xml:space="preserve">Bhavana Rao</t>
  </si>
  <si>
    <t xml:space="preserve">E025</t>
  </si>
  <si>
    <t xml:space="preserve">Mohan Raj</t>
  </si>
  <si>
    <t xml:space="preserve">E026</t>
  </si>
  <si>
    <t xml:space="preserve">Priya Nair</t>
  </si>
  <si>
    <t xml:space="preserve">Data &amp; AI</t>
  </si>
  <si>
    <t xml:space="preserve">E027</t>
  </si>
  <si>
    <t xml:space="preserve">Meera Iyer</t>
  </si>
  <si>
    <t xml:space="preserve">E028</t>
  </si>
  <si>
    <t xml:space="preserve">Divya Menon</t>
  </si>
  <si>
    <t xml:space="preserve">E029</t>
  </si>
  <si>
    <t xml:space="preserve">Aditya Bansal</t>
  </si>
  <si>
    <t xml:space="preserve">E030</t>
  </si>
  <si>
    <t xml:space="preserve">Sneha Kamath</t>
  </si>
  <si>
    <t xml:space="preserve">E031</t>
  </si>
  <si>
    <t xml:space="preserve">Rajesh Pandey</t>
  </si>
  <si>
    <t xml:space="preserve">E032</t>
  </si>
  <si>
    <t xml:space="preserve">Ishita Sen</t>
  </si>
  <si>
    <t xml:space="preserve">E033</t>
  </si>
  <si>
    <t xml:space="preserve">Varun Chopra</t>
  </si>
  <si>
    <t xml:space="preserve">E034</t>
  </si>
  <si>
    <t xml:space="preserve">Pallavi Joshi</t>
  </si>
  <si>
    <t xml:space="preserve">E035</t>
  </si>
  <si>
    <t xml:space="preserve">Arvind Swamy</t>
  </si>
  <si>
    <t xml:space="preserve">E036</t>
  </si>
  <si>
    <t xml:space="preserve">Zoya Ansari</t>
  </si>
  <si>
    <t xml:space="preserve">E037</t>
  </si>
  <si>
    <t xml:space="preserve">Naveen Reddy</t>
  </si>
  <si>
    <t xml:space="preserve">E038</t>
  </si>
  <si>
    <t xml:space="preserve">Kritika Jain</t>
  </si>
  <si>
    <t xml:space="preserve">E039</t>
  </si>
  <si>
    <t xml:space="preserve">Kavya Reddy</t>
  </si>
  <si>
    <t xml:space="preserve">Frontend &amp; Mobile</t>
  </si>
  <si>
    <t xml:space="preserve">E040</t>
  </si>
  <si>
    <t xml:space="preserve">Rohan Das</t>
  </si>
  <si>
    <t xml:space="preserve">E041</t>
  </si>
  <si>
    <t xml:space="preserve">Sahana Shetty</t>
  </si>
  <si>
    <t xml:space="preserve">E042</t>
  </si>
  <si>
    <t xml:space="preserve">Tarun Mishra</t>
  </si>
  <si>
    <t xml:space="preserve">E043</t>
  </si>
  <si>
    <t xml:space="preserve">Anjali Nambiar</t>
  </si>
  <si>
    <t xml:space="preserve">E044</t>
  </si>
  <si>
    <t xml:space="preserve">Siddharth Rao</t>
  </si>
  <si>
    <t xml:space="preserve">E045</t>
  </si>
  <si>
    <t xml:space="preserve">Meghana Kulkarni</t>
  </si>
  <si>
    <t xml:space="preserve">E046</t>
  </si>
  <si>
    <t xml:space="preserve">Farhan Ali</t>
  </si>
  <si>
    <t xml:space="preserve">E047</t>
  </si>
  <si>
    <t xml:space="preserve">Ritu Sharma</t>
  </si>
  <si>
    <t xml:space="preserve">E048</t>
  </si>
  <si>
    <t xml:space="preserve">Pranav Hegde</t>
  </si>
  <si>
    <t xml:space="preserve">E049</t>
  </si>
  <si>
    <t xml:space="preserve">Nandini Iyer</t>
  </si>
  <si>
    <t xml:space="preserve">E050</t>
  </si>
  <si>
    <t xml:space="preserve">Amit Saxena</t>
  </si>
  <si>
    <t xml:space="preserve">Delivery &amp; Quality</t>
  </si>
  <si>
    <t xml:space="preserve">E051</t>
  </si>
  <si>
    <t xml:space="preserve">Divakar Shetty</t>
  </si>
  <si>
    <t xml:space="preserve">E052</t>
  </si>
  <si>
    <t xml:space="preserve">Shalini Gupta</t>
  </si>
  <si>
    <t xml:space="preserve">E053</t>
  </si>
  <si>
    <t xml:space="preserve">Kiran Kumar</t>
  </si>
  <si>
    <t xml:space="preserve">E054</t>
  </si>
  <si>
    <t xml:space="preserve">Bindu Madhavan</t>
  </si>
  <si>
    <t xml:space="preserve">E055</t>
  </si>
  <si>
    <t xml:space="preserve">Harsha Vardhan</t>
  </si>
  <si>
    <t xml:space="preserve">E056</t>
  </si>
  <si>
    <t xml:space="preserve">Leena Fernandes</t>
  </si>
  <si>
    <t xml:space="preserve">E057</t>
  </si>
  <si>
    <t xml:space="preserve">Omkar Patil</t>
  </si>
  <si>
    <t xml:space="preserve">E058</t>
  </si>
  <si>
    <t xml:space="preserve">Ayesha Siddiqui</t>
  </si>
  <si>
    <t xml:space="preserve">E059</t>
  </si>
  <si>
    <t xml:space="preserve">Sunil Rao</t>
  </si>
  <si>
    <t xml:space="preserve">E060</t>
  </si>
  <si>
    <t xml:space="preserve">Teja Reddy</t>
  </si>
  <si>
    <t xml:space="preserve">2026-08-31</t>
  </si>
  <si>
    <t xml:space="preserve">2026-09-07</t>
  </si>
  <si>
    <t xml:space="preserve">2026-09-14</t>
  </si>
  <si>
    <t xml:space="preserve">2026-09-21</t>
  </si>
  <si>
    <t xml:space="preserve">2026-09-28</t>
  </si>
  <si>
    <t xml:space="preserve">2026-10-05</t>
  </si>
  <si>
    <t xml:space="preserve">2026-10-12</t>
  </si>
  <si>
    <t xml:space="preserve">planned</t>
  </si>
  <si>
    <t xml:space="preserve">rec_id</t>
  </si>
  <si>
    <t xml:space="preserve">snapshot_week</t>
  </si>
  <si>
    <t xml:space="preserve">task_id</t>
  </si>
  <si>
    <t xml:space="preserve">task_name</t>
  </si>
  <si>
    <t xml:space="preserve">project_id</t>
  </si>
  <si>
    <t xml:space="preserve">task_priority</t>
  </si>
  <si>
    <t xml:space="preserve">required_skill_id</t>
  </si>
  <si>
    <t xml:space="preserve">required_skill</t>
  </si>
  <si>
    <t xml:space="preserve">min_level</t>
  </si>
  <si>
    <t xml:space="preserve">hours_moved</t>
  </si>
  <si>
    <t xml:space="preserve">from_employee_id</t>
  </si>
  <si>
    <t xml:space="preserve">from_name</t>
  </si>
  <si>
    <t xml:space="preserve">to_employee_id</t>
  </si>
  <si>
    <t xml:space="preserve">to_name</t>
  </si>
  <si>
    <t xml:space="preserve">receiver_skill_level</t>
  </si>
  <si>
    <t xml:space="preserve">same_department</t>
  </si>
  <si>
    <t xml:space="preserve">from_util_before_pct</t>
  </si>
  <si>
    <t xml:space="preserve">from_util_after_pct</t>
  </si>
  <si>
    <t xml:space="preserve">to_util_before_pct</t>
  </si>
  <si>
    <t xml:space="preserve">to_util_after_pct</t>
  </si>
  <si>
    <t xml:space="preserve">match_score</t>
  </si>
  <si>
    <t xml:space="preserve">reason</t>
  </si>
  <si>
    <t xml:space="preserve">status</t>
  </si>
  <si>
    <t xml:space="preserve">RB001</t>
  </si>
  <si>
    <t xml:space="preserve">T082</t>
  </si>
  <si>
    <t xml:space="preserve">Sales dashboards</t>
  </si>
  <si>
    <t xml:space="preserve">P06</t>
  </si>
  <si>
    <t xml:space="preserve">Medium</t>
  </si>
  <si>
    <t xml:space="preserve">S31</t>
  </si>
  <si>
    <t xml:space="preserve">Tableau</t>
  </si>
  <si>
    <t xml:space="preserve">Y</t>
  </si>
  <si>
    <t xml:space="preserve">Divya Menon at 125% load; Zoya Ansari has Tableau level 3 (needs 2) and 35% load</t>
  </si>
  <si>
    <t xml:space="preserve">suggested</t>
  </si>
  <si>
    <t xml:space="preserve">RB002</t>
  </si>
  <si>
    <t xml:space="preserve">T084</t>
  </si>
  <si>
    <t xml:space="preserve">Ingestion framework</t>
  </si>
  <si>
    <t xml:space="preserve">S32</t>
  </si>
  <si>
    <t xml:space="preserve">Data Engineering</t>
  </si>
  <si>
    <t xml:space="preserve">Divya Menon at 100% load; Rajesh Pandey has Data Engineering level 3 (needs 3) and 60% load</t>
  </si>
  <si>
    <t xml:space="preserve">RB003</t>
  </si>
  <si>
    <t xml:space="preserve">T004</t>
  </si>
  <si>
    <t xml:space="preserve">Pipeline KPI refactor</t>
  </si>
  <si>
    <t xml:space="preserve">P07</t>
  </si>
  <si>
    <t xml:space="preserve">S28</t>
  </si>
  <si>
    <t xml:space="preserve">Data Analytics</t>
  </si>
  <si>
    <t xml:space="preserve">Ravi Shankar at 118% load; Anita Rao has Data Analytics level 3 (needs 3) and 40% load</t>
  </si>
  <si>
    <t xml:space="preserve">RB004</t>
  </si>
  <si>
    <t xml:space="preserve">T001</t>
  </si>
  <si>
    <t xml:space="preserve">Report automation</t>
  </si>
  <si>
    <t xml:space="preserve">P05</t>
  </si>
  <si>
    <t xml:space="preserve">S01</t>
  </si>
  <si>
    <t xml:space="preserve">Python</t>
  </si>
  <si>
    <t xml:space="preserve">N</t>
  </si>
  <si>
    <t xml:space="preserve">Ravi Shankar at 90% load; Priya Nair has Python level 5 (needs 3) and 50% load</t>
  </si>
  <si>
    <t xml:space="preserve">RB005</t>
  </si>
  <si>
    <t xml:space="preserve">T011</t>
  </si>
  <si>
    <t xml:space="preserve">Schema migration</t>
  </si>
  <si>
    <t xml:space="preserve">P04</t>
  </si>
  <si>
    <t xml:space="preserve">S15</t>
  </si>
  <si>
    <t xml:space="preserve">SQL</t>
  </si>
  <si>
    <t xml:space="preserve">Karthik Subramanian at 112% load; Harsha Vardhan has SQL level 4 (needs 4) and 40% load</t>
  </si>
  <si>
    <t xml:space="preserve">RB006</t>
  </si>
  <si>
    <t xml:space="preserve">T128</t>
  </si>
  <si>
    <t xml:space="preserve">Notification service</t>
  </si>
  <si>
    <t xml:space="preserve">P01</t>
  </si>
  <si>
    <t xml:space="preserve">Low</t>
  </si>
  <si>
    <t xml:space="preserve">S10</t>
  </si>
  <si>
    <t xml:space="preserve">Node.js</t>
  </si>
  <si>
    <t xml:space="preserve">Siddharth Rao at 100% load; Rohan Das has Node.js level 4 (needs 2) and 40% load</t>
  </si>
  <si>
    <t xml:space="preserve">RB007</t>
  </si>
  <si>
    <t xml:space="preserve">T013</t>
  </si>
  <si>
    <t xml:space="preserve">Integration scripts</t>
  </si>
  <si>
    <t xml:space="preserve">Vikram Joshi at 95% load; Nikhil Agarwal has Python level 3 (needs 3) and 30% load</t>
  </si>
  <si>
    <t xml:space="preserve">RB008</t>
  </si>
  <si>
    <t xml:space="preserve">T064</t>
  </si>
  <si>
    <t xml:space="preserve">Blob storage migration</t>
  </si>
  <si>
    <t xml:space="preserve">S21</t>
  </si>
  <si>
    <t xml:space="preserve">Azure</t>
  </si>
  <si>
    <t xml:space="preserve">Rekha Murthy at 95% load; Suresh Babu has Azure level 3 (needs 2) and 50% load</t>
  </si>
  <si>
    <t xml:space="preserve">RB009</t>
  </si>
  <si>
    <t xml:space="preserve">T056</t>
  </si>
  <si>
    <t xml:space="preserve">Server patching</t>
  </si>
  <si>
    <t xml:space="preserve">S27</t>
  </si>
  <si>
    <t xml:space="preserve">Linux</t>
  </si>
  <si>
    <t xml:space="preserve">Gautham Prabhu at 90% load; Arjun Mehta has Linux level 4 (needs 3) and 38% load</t>
  </si>
  <si>
    <t xml:space="preserve">RB010</t>
  </si>
  <si>
    <t xml:space="preserve">T091</t>
  </si>
  <si>
    <t xml:space="preserve">Ad-hoc analysis requests</t>
  </si>
  <si>
    <t xml:space="preserve">P03</t>
  </si>
  <si>
    <t xml:space="preserve">Relaxed headroom: Sneha Kamath at 98% load; Zoya Ansari has Data Analytics level 4 (needs 3) and 60% load</t>
  </si>
  <si>
    <t xml:space="preserve">name</t>
  </si>
  <si>
    <t xml:space="preserve">role</t>
  </si>
  <si>
    <t xml:space="preserve">allocated_hrs_before</t>
  </si>
  <si>
    <t xml:space="preserve">util_before_pct</t>
  </si>
  <si>
    <t xml:space="preserve">hrs_moved_out</t>
  </si>
  <si>
    <t xml:space="preserve">hrs_moved_in</t>
  </si>
  <si>
    <t xml:space="preserve">allocated_hrs_after</t>
  </si>
  <si>
    <t xml:space="preserve">util_after_pct</t>
  </si>
  <si>
    <t xml:space="preserve">bucket_before</t>
  </si>
  <si>
    <t xml:space="preserve">bucket_after</t>
  </si>
  <si>
    <t xml:space="preserve">free_hrs_to_target</t>
  </si>
  <si>
    <t xml:space="preserve">Senior Data Scientist</t>
  </si>
  <si>
    <t xml:space="preserve">Lead Backend Engineer</t>
  </si>
  <si>
    <t xml:space="preserve">Lead Frontend Developer</t>
  </si>
  <si>
    <t xml:space="preserve">Senior Data Engineer</t>
  </si>
  <si>
    <t xml:space="preserve">Senior Backend Engineer</t>
  </si>
  <si>
    <t xml:space="preserve">Senior DevOps Engineer</t>
  </si>
  <si>
    <t xml:space="preserve">Lead Project Manager</t>
  </si>
  <si>
    <t xml:space="preserve">Backend Engineer</t>
  </si>
  <si>
    <t xml:space="preserve">Junior QA Engineer</t>
  </si>
  <si>
    <t xml:space="preserve">Junior Backend Engineer</t>
  </si>
  <si>
    <t xml:space="preserve">Junior DevOps Engineer</t>
  </si>
  <si>
    <t xml:space="preserve">Junior Data Scientist</t>
  </si>
  <si>
    <t xml:space="preserve">Frontend Developer</t>
  </si>
  <si>
    <t xml:space="preserve">UI/UX Designer</t>
  </si>
  <si>
    <t xml:space="preserve">Senior UI/UX Designer</t>
  </si>
  <si>
    <t xml:space="preserve">DevOps Engineer</t>
  </si>
  <si>
    <t xml:space="preserve">Lead Data Engineer</t>
  </si>
  <si>
    <t xml:space="preserve">Senior Frontend Developer</t>
  </si>
  <si>
    <t xml:space="preserve">Junior Frontend Developer</t>
  </si>
  <si>
    <t xml:space="preserve">Full-Stack Developer</t>
  </si>
  <si>
    <t xml:space="preserve">Senior Data Analyst</t>
  </si>
  <si>
    <t xml:space="preserve">Data Analyst</t>
  </si>
  <si>
    <t xml:space="preserve">Data Engineer</t>
  </si>
  <si>
    <t xml:space="preserve">Senior Project Manager</t>
  </si>
  <si>
    <t xml:space="preserve">QA Engineer</t>
  </si>
  <si>
    <t xml:space="preserve">Technical Writer</t>
  </si>
  <si>
    <t xml:space="preserve">Senior QA Engineer</t>
  </si>
  <si>
    <t xml:space="preserve">Junior Full-Stack Developer</t>
  </si>
  <si>
    <t xml:space="preserve">Lead Data Scientist</t>
  </si>
  <si>
    <t xml:space="preserve">Lead DevOps Engineer</t>
  </si>
  <si>
    <t xml:space="preserve">Senior Full-Stack Developer</t>
  </si>
  <si>
    <t xml:space="preserve">log_id</t>
  </si>
  <si>
    <t xml:space="preserve">moved_on</t>
  </si>
  <si>
    <t xml:space="preserve">trigger</t>
  </si>
  <si>
    <t xml:space="preserve">manager_decision</t>
  </si>
  <si>
    <t xml:space="preserve">RL001</t>
  </si>
  <si>
    <t xml:space="preserve">2026-10-06</t>
  </si>
  <si>
    <t xml:space="preserve">T095</t>
  </si>
  <si>
    <t xml:space="preserve">A/B test analysis</t>
  </si>
  <si>
    <t xml:space="preserve">auto_rebalance</t>
  </si>
  <si>
    <t xml:space="preserve">accepted</t>
  </si>
  <si>
    <t xml:space="preserve">RL002</t>
  </si>
  <si>
    <t xml:space="preserve">2026-09-25</t>
  </si>
  <si>
    <t xml:space="preserve">T053</t>
  </si>
  <si>
    <t xml:space="preserve">Lambda workflows</t>
  </si>
  <si>
    <t xml:space="preserve">RL003</t>
  </si>
  <si>
    <t xml:space="preserve">T140</t>
  </si>
  <si>
    <t xml:space="preserve">Versioning clean-up</t>
  </si>
  <si>
    <t xml:space="preserve">RL004</t>
  </si>
  <si>
    <t xml:space="preserve">2026-09-24</t>
  </si>
  <si>
    <t xml:space="preserve">T059</t>
  </si>
  <si>
    <t xml:space="preserve">Compose environments</t>
  </si>
  <si>
    <t xml:space="preserve">RL005</t>
  </si>
  <si>
    <t xml:space="preserve">2026-09-29</t>
  </si>
  <si>
    <t xml:space="preserve">T092</t>
  </si>
  <si>
    <t xml:space="preserve">Data cleaning pipeline</t>
  </si>
  <si>
    <t xml:space="preserve">RL006</t>
  </si>
  <si>
    <t xml:space="preserve">2026-09-17</t>
  </si>
  <si>
    <t xml:space="preserve">T142</t>
  </si>
  <si>
    <t xml:space="preserve">Responsive layouts</t>
  </si>
  <si>
    <t xml:space="preserve">RL007</t>
  </si>
  <si>
    <t xml:space="preserve">2026-10-01</t>
  </si>
  <si>
    <t xml:space="preserve">T063</t>
  </si>
  <si>
    <t xml:space="preserve">Image hardening</t>
  </si>
  <si>
    <t xml:space="preserve">manager_manual</t>
  </si>
  <si>
    <t xml:space="preserve">modified</t>
  </si>
  <si>
    <t xml:space="preserve">RL008</t>
  </si>
  <si>
    <t xml:space="preserve">2026-09-27</t>
  </si>
  <si>
    <t xml:space="preserve">T137</t>
  </si>
  <si>
    <t xml:space="preserve">Admin console</t>
  </si>
  <si>
    <t xml:space="preserve">RL009</t>
  </si>
  <si>
    <t xml:space="preserve">T016</t>
  </si>
  <si>
    <t xml:space="preserve">RL010</t>
  </si>
  <si>
    <t xml:space="preserve">2026-10-08</t>
  </si>
  <si>
    <t xml:space="preserve">T048</t>
  </si>
  <si>
    <t xml:space="preserve">RL011</t>
  </si>
  <si>
    <t xml:space="preserve">2026-09-15</t>
  </si>
  <si>
    <t xml:space="preserve">T039</t>
  </si>
  <si>
    <t xml:space="preserve">Feature preparation</t>
  </si>
  <si>
    <t xml:space="preserve">RL012</t>
  </si>
  <si>
    <t xml:space="preserve">2026-10-04</t>
  </si>
  <si>
    <t xml:space="preserve">RL013</t>
  </si>
  <si>
    <t xml:space="preserve">T120</t>
  </si>
  <si>
    <t xml:space="preserve">Regression suite</t>
  </si>
  <si>
    <t xml:space="preserve">RL014</t>
  </si>
  <si>
    <t xml:space="preserve">T044</t>
  </si>
  <si>
    <t xml:space="preserve">Data validation module</t>
  </si>
  <si>
    <t xml:space="preserve">RL015</t>
  </si>
  <si>
    <t xml:space="preserve">T124</t>
  </si>
  <si>
    <t xml:space="preserve">RL016</t>
  </si>
  <si>
    <t xml:space="preserve">T097</t>
  </si>
  <si>
    <t xml:space="preserve">Workload Rebalancing &amp; Allocation - dashboard feed</t>
  </si>
  <si>
    <t xml:space="preserve">metric</t>
  </si>
  <si>
    <t xml:space="preserve">before_rebalance</t>
  </si>
  <si>
    <t xml:space="preserve">after_rebalance</t>
  </si>
  <si>
    <t xml:space="preserve">Overloaded (count)</t>
  </si>
  <si>
    <t xml:space="preserve">Underutilized (count)</t>
  </si>
  <si>
    <t xml:space="preserve">Optimal (count)</t>
  </si>
  <si>
    <t xml:space="preserve">Overloaded (%)</t>
  </si>
  <si>
    <t xml:space="preserve">Underutilized (%)</t>
  </si>
  <si>
    <t xml:space="preserve">Optimal (%)</t>
  </si>
  <si>
    <t xml:space="preserve">Tasks proposed to move</t>
  </si>
  <si>
    <t xml:space="preserve">Hours moved per week</t>
  </si>
  <si>
    <t xml:space="preserve">Notes: Before = week in workload_config!B7 from workload_history. After = rebalance_employee_impact. Percent cells are fractions formatted as %.</t>
  </si>
  <si>
    <t xml:space="preserve">gap_id</t>
  </si>
  <si>
    <t xml:space="preserve">skill_id</t>
  </si>
  <si>
    <t xml:space="preserve">skill_name</t>
  </si>
  <si>
    <t xml:space="preserve">skill_category</t>
  </si>
  <si>
    <t xml:space="preserve">current_level_direct</t>
  </si>
  <si>
    <t xml:space="preserve">effective_level</t>
  </si>
  <si>
    <t xml:space="preserve">required_level</t>
  </si>
  <si>
    <t xml:space="preserve">gap_levels</t>
  </si>
  <si>
    <t xml:space="preserve">gap_source</t>
  </si>
  <si>
    <t xml:space="preserve">driving_task_id</t>
  </si>
  <si>
    <t xml:space="preserve">driving_projects</t>
  </si>
  <si>
    <t xml:space="preserve">is_critical</t>
  </si>
  <si>
    <t xml:space="preserve">interest_level</t>
  </si>
  <si>
    <t xml:space="preserve">G001</t>
  </si>
  <si>
    <t xml:space="preserve">DevOps</t>
  </si>
  <si>
    <t xml:space="preserve">Current assignment</t>
  </si>
  <si>
    <t xml:space="preserve">T018</t>
  </si>
  <si>
    <t xml:space="preserve">Open</t>
  </si>
  <si>
    <t xml:space="preserve">G002</t>
  </si>
  <si>
    <t xml:space="preserve">S16</t>
  </si>
  <si>
    <t xml:space="preserve">PostgreSQL</t>
  </si>
  <si>
    <t xml:space="preserve">Database</t>
  </si>
  <si>
    <t xml:space="preserve">T019</t>
  </si>
  <si>
    <t xml:space="preserve">G003</t>
  </si>
  <si>
    <t xml:space="preserve">S14</t>
  </si>
  <si>
    <t xml:space="preserve">REST API Design</t>
  </si>
  <si>
    <t xml:space="preserve">T022</t>
  </si>
  <si>
    <t xml:space="preserve">G004</t>
  </si>
  <si>
    <t xml:space="preserve">T023</t>
  </si>
  <si>
    <t xml:space="preserve">P02</t>
  </si>
  <si>
    <t xml:space="preserve">G005</t>
  </si>
  <si>
    <t xml:space="preserve">S26</t>
  </si>
  <si>
    <t xml:space="preserve">CI/CD</t>
  </si>
  <si>
    <t xml:space="preserve">T033</t>
  </si>
  <si>
    <t xml:space="preserve">G006</t>
  </si>
  <si>
    <t xml:space="preserve">S13</t>
  </si>
  <si>
    <t xml:space="preserve">Spring Boot</t>
  </si>
  <si>
    <t xml:space="preserve">T041</t>
  </si>
  <si>
    <t xml:space="preserve">G007</t>
  </si>
  <si>
    <t xml:space="preserve">T042</t>
  </si>
  <si>
    <t xml:space="preserve">G008</t>
  </si>
  <si>
    <t xml:space="preserve">S23</t>
  </si>
  <si>
    <t xml:space="preserve">Docker</t>
  </si>
  <si>
    <t xml:space="preserve">T040</t>
  </si>
  <si>
    <t xml:space="preserve">G009</t>
  </si>
  <si>
    <t xml:space="preserve">S24</t>
  </si>
  <si>
    <t xml:space="preserve">Kubernetes</t>
  </si>
  <si>
    <t xml:space="preserve">Upcoming project</t>
  </si>
  <si>
    <t xml:space="preserve">P08|P11</t>
  </si>
  <si>
    <t xml:space="preserve">G010</t>
  </si>
  <si>
    <t xml:space="preserve">G011</t>
  </si>
  <si>
    <t xml:space="preserve">S40</t>
  </si>
  <si>
    <t xml:space="preserve">MLOps</t>
  </si>
  <si>
    <t xml:space="preserve">AI/ML</t>
  </si>
  <si>
    <t xml:space="preserve">P11</t>
  </si>
  <si>
    <t xml:space="preserve">In training</t>
  </si>
  <si>
    <t xml:space="preserve">G012</t>
  </si>
  <si>
    <t xml:space="preserve">G013</t>
  </si>
  <si>
    <t xml:space="preserve">Programming</t>
  </si>
  <si>
    <t xml:space="preserve">T052</t>
  </si>
  <si>
    <t xml:space="preserve">G014</t>
  </si>
  <si>
    <t xml:space="preserve">S20</t>
  </si>
  <si>
    <t xml:space="preserve">AWS</t>
  </si>
  <si>
    <t xml:space="preserve">Cloud</t>
  </si>
  <si>
    <t xml:space="preserve">G015</t>
  </si>
  <si>
    <t xml:space="preserve">G016</t>
  </si>
  <si>
    <t xml:space="preserve">G017</t>
  </si>
  <si>
    <t xml:space="preserve">S29</t>
  </si>
  <si>
    <t xml:space="preserve">Pandas</t>
  </si>
  <si>
    <t xml:space="preserve">Data</t>
  </si>
  <si>
    <t xml:space="preserve">T087</t>
  </si>
  <si>
    <t xml:space="preserve">G018</t>
  </si>
  <si>
    <t xml:space="preserve">S39</t>
  </si>
  <si>
    <t xml:space="preserve">NLP</t>
  </si>
  <si>
    <t xml:space="preserve">T089</t>
  </si>
  <si>
    <t xml:space="preserve">G019</t>
  </si>
  <si>
    <t xml:space="preserve">S35</t>
  </si>
  <si>
    <t xml:space="preserve">Apache Kafka</t>
  </si>
  <si>
    <t xml:space="preserve">P09</t>
  </si>
  <si>
    <t xml:space="preserve">G020</t>
  </si>
  <si>
    <t xml:space="preserve">T103</t>
  </si>
  <si>
    <t xml:space="preserve">G021</t>
  </si>
  <si>
    <t xml:space="preserve">T102</t>
  </si>
  <si>
    <t xml:space="preserve">G022</t>
  </si>
  <si>
    <t xml:space="preserve">G023</t>
  </si>
  <si>
    <t xml:space="preserve">S07</t>
  </si>
  <si>
    <t xml:space="preserve">React</t>
  </si>
  <si>
    <t xml:space="preserve">Frontend</t>
  </si>
  <si>
    <t xml:space="preserve">G024</t>
  </si>
  <si>
    <t xml:space="preserve">S09</t>
  </si>
  <si>
    <t xml:space="preserve">HTML/CSS</t>
  </si>
  <si>
    <t xml:space="preserve">G025</t>
  </si>
  <si>
    <t xml:space="preserve">T134</t>
  </si>
  <si>
    <t xml:space="preserve">G026</t>
  </si>
  <si>
    <t xml:space="preserve">G027</t>
  </si>
  <si>
    <t xml:space="preserve">T157</t>
  </si>
  <si>
    <t xml:space="preserve">P02|P04</t>
  </si>
  <si>
    <t xml:space="preserve">G028</t>
  </si>
  <si>
    <t xml:space="preserve">G029</t>
  </si>
  <si>
    <t xml:space="preserve">S47</t>
  </si>
  <si>
    <t xml:space="preserve">Agile/Scrum</t>
  </si>
  <si>
    <t xml:space="preserve">Management</t>
  </si>
  <si>
    <t xml:space="preserve">T162</t>
  </si>
  <si>
    <t xml:space="preserve">G030</t>
  </si>
  <si>
    <t xml:space="preserve">S48</t>
  </si>
  <si>
    <t xml:space="preserve">Technical Writing</t>
  </si>
  <si>
    <t xml:space="preserve">Soft</t>
  </si>
  <si>
    <t xml:space="preserve">P10</t>
  </si>
  <si>
    <t xml:space="preserve">G031</t>
  </si>
  <si>
    <t xml:space="preserve">T169</t>
  </si>
  <si>
    <t xml:space="preserve">G032</t>
  </si>
  <si>
    <t xml:space="preserve">T171</t>
  </si>
  <si>
    <t xml:space="preserve">G033</t>
  </si>
  <si>
    <t xml:space="preserve">T170</t>
  </si>
  <si>
    <t xml:space="preserve">current_level</t>
  </si>
  <si>
    <t xml:space="preserve">target_level</t>
  </si>
  <si>
    <t xml:space="preserve">recommended_course_id</t>
  </si>
  <si>
    <t xml:space="preserve">recommended_course</t>
  </si>
  <si>
    <t xml:space="preserve">provider</t>
  </si>
  <si>
    <t xml:space="preserve">course_path</t>
  </si>
  <si>
    <t xml:space="preserve">path_duration_weeks</t>
  </si>
  <si>
    <t xml:space="preserve">course_hrs_per_week</t>
  </si>
  <si>
    <t xml:space="preserve">path_cost_inr</t>
  </si>
  <si>
    <t xml:space="preserve">mentor_employee_id</t>
  </si>
  <si>
    <t xml:space="preserve">mentor_name</t>
  </si>
  <si>
    <t xml:space="preserve">priority_score</t>
  </si>
  <si>
    <t xml:space="preserve">priority_label</t>
  </si>
  <si>
    <t xml:space="preserve">alloc_hrs_after_rebalance</t>
  </si>
  <si>
    <t xml:space="preserve">util_with_training_pct</t>
  </si>
  <si>
    <t xml:space="preserve">capacity_fit</t>
  </si>
  <si>
    <t xml:space="preserve">planned_start</t>
  </si>
  <si>
    <t xml:space="preserve">planned_end</t>
  </si>
  <si>
    <t xml:space="preserve">TR001</t>
  </si>
  <si>
    <t xml:space="preserve">C16</t>
  </si>
  <si>
    <t xml:space="preserve">Linux System Administration</t>
  </si>
  <si>
    <t xml:space="preserve">Linux Foundation</t>
  </si>
  <si>
    <t xml:space="preserve">Gap of 1 level(s) vs 2 required; reaches level 4</t>
  </si>
  <si>
    <t xml:space="preserve">2026-11-09</t>
  </si>
  <si>
    <t xml:space="preserve">recommended</t>
  </si>
  <si>
    <t xml:space="preserve">TR002</t>
  </si>
  <si>
    <t xml:space="preserve">Mentorship / pair assignment (no catalog course)</t>
  </si>
  <si>
    <t xml:space="preserve">Internal</t>
  </si>
  <si>
    <t xml:space="preserve">No catalog course for PostgreSQL; mentor Vikram Joshi (level 3)</t>
  </si>
  <si>
    <t xml:space="preserve">2026-10-26</t>
  </si>
  <si>
    <t xml:space="preserve">2026-12-07</t>
  </si>
  <si>
    <t xml:space="preserve">TR003</t>
  </si>
  <si>
    <t xml:space="preserve">No catalog course for REST API Design; mentor Vikram Joshi (level 5)</t>
  </si>
  <si>
    <t xml:space="preserve">TR004</t>
  </si>
  <si>
    <t xml:space="preserve">TR005</t>
  </si>
  <si>
    <t xml:space="preserve">C15</t>
  </si>
  <si>
    <t xml:space="preserve">CI/CD Pipelines with GitHub Actions</t>
  </si>
  <si>
    <t xml:space="preserve">Udemy</t>
  </si>
  <si>
    <t xml:space="preserve">Gap of 1 level(s) vs 2 required; reaches level 3</t>
  </si>
  <si>
    <t xml:space="preserve">2026-11-02</t>
  </si>
  <si>
    <t xml:space="preserve">2026-11-23</t>
  </si>
  <si>
    <t xml:space="preserve">TR006</t>
  </si>
  <si>
    <t xml:space="preserve">C36</t>
  </si>
  <si>
    <t xml:space="preserve">Spring Boot Microservices</t>
  </si>
  <si>
    <t xml:space="preserve">Gap of 1 level(s) vs 2 required; reaches level 4; employee interest 3/5</t>
  </si>
  <si>
    <t xml:space="preserve">TR007</t>
  </si>
  <si>
    <t xml:space="preserve">C18</t>
  </si>
  <si>
    <t xml:space="preserve">Advanced SQL and Query Tuning</t>
  </si>
  <si>
    <t xml:space="preserve">2026-11-16</t>
  </si>
  <si>
    <t xml:space="preserve">TR008</t>
  </si>
  <si>
    <t xml:space="preserve">C14</t>
  </si>
  <si>
    <t xml:space="preserve">Docker in Practice</t>
  </si>
  <si>
    <t xml:space="preserve">TR009</t>
  </si>
  <si>
    <t xml:space="preserve">C02</t>
  </si>
  <si>
    <t xml:space="preserve">Kubernetes for Application Developers</t>
  </si>
  <si>
    <t xml:space="preserve">C02 &gt; C03</t>
  </si>
  <si>
    <t xml:space="preserve">Gap of 2 level(s) vs 4 required; reaches level 4; employee interest 5/5</t>
  </si>
  <si>
    <t xml:space="preserve">2026-12-28</t>
  </si>
  <si>
    <t xml:space="preserve">TR010</t>
  </si>
  <si>
    <t xml:space="preserve">Gap of 2 level(s) vs 4 required; reaches level 4</t>
  </si>
  <si>
    <t xml:space="preserve">TR011</t>
  </si>
  <si>
    <t xml:space="preserve">C06</t>
  </si>
  <si>
    <t xml:space="preserve">MLOps Foundations</t>
  </si>
  <si>
    <t xml:space="preserve">Coursera</t>
  </si>
  <si>
    <t xml:space="preserve">Gap of 2 level(s) vs 3 required; reaches level 3; employee interest 4/5</t>
  </si>
  <si>
    <t xml:space="preserve">already_enrolled</t>
  </si>
  <si>
    <t xml:space="preserve">TR012</t>
  </si>
  <si>
    <t xml:space="preserve">Gap of 2 level(s) vs 4 required; reaches level 4; employee interest 4/5</t>
  </si>
  <si>
    <t xml:space="preserve">TR013</t>
  </si>
  <si>
    <t xml:space="preserve">C17</t>
  </si>
  <si>
    <t xml:space="preserve">Python for Professionals</t>
  </si>
  <si>
    <t xml:space="preserve">2026-11-30</t>
  </si>
  <si>
    <t xml:space="preserve">TR014</t>
  </si>
  <si>
    <t xml:space="preserve">C10</t>
  </si>
  <si>
    <t xml:space="preserve">AWS Solutions Architect Prep</t>
  </si>
  <si>
    <t xml:space="preserve">AWS Skill Builder</t>
  </si>
  <si>
    <t xml:space="preserve">TR015</t>
  </si>
  <si>
    <t xml:space="preserve">TR016</t>
  </si>
  <si>
    <t xml:space="preserve">TR017</t>
  </si>
  <si>
    <t xml:space="preserve">C20</t>
  </si>
  <si>
    <t xml:space="preserve">Data Wrangling with Pandas</t>
  </si>
  <si>
    <t xml:space="preserve">TR018</t>
  </si>
  <si>
    <t xml:space="preserve">C29</t>
  </si>
  <si>
    <t xml:space="preserve">NLP with Transformers</t>
  </si>
  <si>
    <t xml:space="preserve">TR019</t>
  </si>
  <si>
    <t xml:space="preserve">C04</t>
  </si>
  <si>
    <t xml:space="preserve">Kafka Essentials</t>
  </si>
  <si>
    <t xml:space="preserve">C04 &gt; C05</t>
  </si>
  <si>
    <t xml:space="preserve">Gap of 2 level(s) vs 3 required; reaches level 3</t>
  </si>
  <si>
    <t xml:space="preserve">2026-12-14</t>
  </si>
  <si>
    <t xml:space="preserve">TR020</t>
  </si>
  <si>
    <t xml:space="preserve">TR021</t>
  </si>
  <si>
    <t xml:space="preserve">TR022</t>
  </si>
  <si>
    <t xml:space="preserve">Gap of 2 level(s) vs 3 required; reaches level 3; employee interest 5/5</t>
  </si>
  <si>
    <t xml:space="preserve">TR023</t>
  </si>
  <si>
    <t xml:space="preserve">C31</t>
  </si>
  <si>
    <t xml:space="preserve">Advanced React Patterns</t>
  </si>
  <si>
    <t xml:space="preserve">Gap of 1 level(s) vs 4 required; reaches level 4</t>
  </si>
  <si>
    <t xml:space="preserve">TR024</t>
  </si>
  <si>
    <t xml:space="preserve">No catalog course for HTML/CSS; mentor Kavya Reddy (level 5)</t>
  </si>
  <si>
    <t xml:space="preserve">TR025</t>
  </si>
  <si>
    <t xml:space="preserve">TR026</t>
  </si>
  <si>
    <t xml:space="preserve">TR027</t>
  </si>
  <si>
    <t xml:space="preserve">TR028</t>
  </si>
  <si>
    <t xml:space="preserve">TR029</t>
  </si>
  <si>
    <t xml:space="preserve">No catalog course for Agile/Scrum; mentor Kiran Kumar (level 4)</t>
  </si>
  <si>
    <t xml:space="preserve">TR030</t>
  </si>
  <si>
    <t xml:space="preserve">C40</t>
  </si>
  <si>
    <t xml:space="preserve">Technical Writing for Engineers</t>
  </si>
  <si>
    <t xml:space="preserve">Gap of 1 level(s) vs 2 required; reaches level 3; employee interest 5/5</t>
  </si>
  <si>
    <t xml:space="preserve">TR031</t>
  </si>
  <si>
    <t xml:space="preserve">TR032</t>
  </si>
  <si>
    <t xml:space="preserve">TR033</t>
  </si>
  <si>
    <t xml:space="preserve">C33</t>
  </si>
  <si>
    <t xml:space="preserve">Node.js Services at Scale</t>
  </si>
  <si>
    <t xml:space="preserve">Pluralsight</t>
  </si>
  <si>
    <t xml:space="preserve">enrollment_id</t>
  </si>
  <si>
    <t xml:space="preserve">course_id</t>
  </si>
  <si>
    <t xml:space="preserve">course_title</t>
  </si>
  <si>
    <t xml:space="preserve">enrolled_on</t>
  </si>
  <si>
    <t xml:space="preserve">start_date</t>
  </si>
  <si>
    <t xml:space="preserve">end_date</t>
  </si>
  <si>
    <t xml:space="preserve">progress_pct</t>
  </si>
  <si>
    <t xml:space="preserve">score</t>
  </si>
  <si>
    <t xml:space="preserve">cost_inr</t>
  </si>
  <si>
    <t xml:space="preserve">level_before</t>
  </si>
  <si>
    <t xml:space="preserve">level_after</t>
  </si>
  <si>
    <t xml:space="preserve">source</t>
  </si>
  <si>
    <t xml:space="preserve">EN001</t>
  </si>
  <si>
    <t xml:space="preserve">2026-09-23</t>
  </si>
  <si>
    <t xml:space="preserve">in_progress</t>
  </si>
  <si>
    <t xml:space="preserve">manager_assigned</t>
  </si>
  <si>
    <t xml:space="preserve">EN002</t>
  </si>
  <si>
    <t xml:space="preserve">2026-09-30</t>
  </si>
  <si>
    <t xml:space="preserve">EN003</t>
  </si>
  <si>
    <t xml:space="preserve">EN004</t>
  </si>
  <si>
    <t xml:space="preserve">2026-07-20</t>
  </si>
  <si>
    <t xml:space="preserve">2026-07-26</t>
  </si>
  <si>
    <t xml:space="preserve">2026-08-16</t>
  </si>
  <si>
    <t xml:space="preserve">completed</t>
  </si>
  <si>
    <t xml:space="preserve">self_enrolled</t>
  </si>
  <si>
    <t xml:space="preserve">EN005</t>
  </si>
  <si>
    <t xml:space="preserve">2026-04-27</t>
  </si>
  <si>
    <t xml:space="preserve">2026-05-03</t>
  </si>
  <si>
    <t xml:space="preserve">2026-05-24</t>
  </si>
  <si>
    <t xml:space="preserve">EN006</t>
  </si>
  <si>
    <t xml:space="preserve">C35</t>
  </si>
  <si>
    <t xml:space="preserve">Go for Backend Engineers</t>
  </si>
  <si>
    <t xml:space="preserve">S05</t>
  </si>
  <si>
    <t xml:space="preserve">2026-06-08</t>
  </si>
  <si>
    <t xml:space="preserve">2026-06-14</t>
  </si>
  <si>
    <t xml:space="preserve">2026-07-12</t>
  </si>
  <si>
    <t xml:space="preserve">EN007</t>
  </si>
  <si>
    <t xml:space="preserve">2026-03-20</t>
  </si>
  <si>
    <t xml:space="preserve">2026-03-26</t>
  </si>
  <si>
    <t xml:space="preserve">2026-04-16</t>
  </si>
  <si>
    <t xml:space="preserve">EN008</t>
  </si>
  <si>
    <t xml:space="preserve">2026-05-25</t>
  </si>
  <si>
    <t xml:space="preserve">2026-05-31</t>
  </si>
  <si>
    <t xml:space="preserve">2026-06-21</t>
  </si>
  <si>
    <t xml:space="preserve">EN009</t>
  </si>
  <si>
    <t xml:space="preserve">C32</t>
  </si>
  <si>
    <t xml:space="preserve">TypeScript Deep Dive</t>
  </si>
  <si>
    <t xml:space="preserve">S04</t>
  </si>
  <si>
    <t xml:space="preserve">2026-06-23</t>
  </si>
  <si>
    <t xml:space="preserve">2026-06-29</t>
  </si>
  <si>
    <t xml:space="preserve">2026-07-13</t>
  </si>
  <si>
    <t xml:space="preserve">EN010</t>
  </si>
  <si>
    <t xml:space="preserve">C23</t>
  </si>
  <si>
    <t xml:space="preserve">Data Engineering Professional Path</t>
  </si>
  <si>
    <t xml:space="preserve">2026-03-21</t>
  </si>
  <si>
    <t xml:space="preserve">2026-03-27</t>
  </si>
  <si>
    <t xml:space="preserve">2026-05-08</t>
  </si>
  <si>
    <t xml:space="preserve">EN011</t>
  </si>
  <si>
    <t xml:space="preserve">C08</t>
  </si>
  <si>
    <t xml:space="preserve">Terraform Basics</t>
  </si>
  <si>
    <t xml:space="preserve">S25</t>
  </si>
  <si>
    <t xml:space="preserve">2026-05-21</t>
  </si>
  <si>
    <t xml:space="preserve">2026-05-27</t>
  </si>
  <si>
    <t xml:space="preserve">2026-06-10</t>
  </si>
  <si>
    <t xml:space="preserve">EN012</t>
  </si>
  <si>
    <t xml:space="preserve">2026-04-28</t>
  </si>
  <si>
    <t xml:space="preserve">2026-05-04</t>
  </si>
  <si>
    <t xml:space="preserve">EN013</t>
  </si>
  <si>
    <t xml:space="preserve">C19</t>
  </si>
  <si>
    <t xml:space="preserve">Applied Data Analytics</t>
  </si>
  <si>
    <t xml:space="preserve">2026-07-11</t>
  </si>
  <si>
    <t xml:space="preserve">2026-07-17</t>
  </si>
  <si>
    <t xml:space="preserve">2026-08-14</t>
  </si>
  <si>
    <t xml:space="preserve">EN014</t>
  </si>
  <si>
    <t xml:space="preserve">2026-06-12</t>
  </si>
  <si>
    <t xml:space="preserve">2026-06-18</t>
  </si>
  <si>
    <t xml:space="preserve">2026-07-16</t>
  </si>
  <si>
    <t xml:space="preserve">EN015</t>
  </si>
  <si>
    <t xml:space="preserve">C30</t>
  </si>
  <si>
    <t xml:space="preserve">Secure Coding and Threat Modelling</t>
  </si>
  <si>
    <t xml:space="preserve">S41</t>
  </si>
  <si>
    <t xml:space="preserve">2026-06-22</t>
  </si>
  <si>
    <t xml:space="preserve">2026-06-28</t>
  </si>
  <si>
    <t xml:space="preserve">EN016</t>
  </si>
  <si>
    <t xml:space="preserve">2026-06-17</t>
  </si>
  <si>
    <t xml:space="preserve">2026-07-07</t>
  </si>
  <si>
    <t xml:space="preserve">AI_recommended</t>
  </si>
  <si>
    <t xml:space="preserve">EN017</t>
  </si>
  <si>
    <t xml:space="preserve">2026-04-17</t>
  </si>
  <si>
    <t xml:space="preserve">EN018</t>
  </si>
  <si>
    <t xml:space="preserve">C09</t>
  </si>
  <si>
    <t xml:space="preserve">Terraform at Scale</t>
  </si>
  <si>
    <t xml:space="preserve">2026-07-18</t>
  </si>
  <si>
    <t xml:space="preserve">2026-08-15</t>
  </si>
  <si>
    <t xml:space="preserve">EN019</t>
  </si>
  <si>
    <t xml:space="preserve">2026-03-19</t>
  </si>
  <si>
    <t xml:space="preserve">2026-03-25</t>
  </si>
  <si>
    <t xml:space="preserve">2026-04-15</t>
  </si>
  <si>
    <t xml:space="preserve">EN020</t>
  </si>
  <si>
    <t xml:space="preserve">C22</t>
  </si>
  <si>
    <t xml:space="preserve">Tableau Dashboards</t>
  </si>
  <si>
    <t xml:space="preserve">2026-04-07</t>
  </si>
  <si>
    <t xml:space="preserve">2026-04-13</t>
  </si>
  <si>
    <t xml:space="preserve">EN021</t>
  </si>
  <si>
    <t xml:space="preserve">2026-06-27</t>
  </si>
  <si>
    <t xml:space="preserve">2026-07-03</t>
  </si>
  <si>
    <t xml:space="preserve">2026-07-24</t>
  </si>
  <si>
    <t xml:space="preserve">EN022</t>
  </si>
  <si>
    <t xml:space="preserve">2026-03-11</t>
  </si>
  <si>
    <t xml:space="preserve">2026-03-17</t>
  </si>
  <si>
    <t xml:space="preserve">2026-03-31</t>
  </si>
  <si>
    <t xml:space="preserve">EN023</t>
  </si>
  <si>
    <t xml:space="preserve">2026-02-24</t>
  </si>
  <si>
    <t xml:space="preserve">2026-03-02</t>
  </si>
  <si>
    <t xml:space="preserve">2026-03-30</t>
  </si>
  <si>
    <t xml:space="preserve">EN024</t>
  </si>
  <si>
    <t xml:space="preserve">2026-06-20</t>
  </si>
  <si>
    <t xml:space="preserve">2026-06-26</t>
  </si>
  <si>
    <t xml:space="preserve">2026-07-31</t>
  </si>
  <si>
    <t xml:space="preserve">EN025</t>
  </si>
  <si>
    <t xml:space="preserve">2026-07-22</t>
  </si>
  <si>
    <t xml:space="preserve">2026-08-19</t>
  </si>
  <si>
    <t xml:space="preserve">EN026</t>
  </si>
  <si>
    <t xml:space="preserve">C26</t>
  </si>
  <si>
    <t xml:space="preserve">Statistics for Data Science</t>
  </si>
  <si>
    <t xml:space="preserve">S36</t>
  </si>
  <si>
    <t xml:space="preserve">2026-07-04</t>
  </si>
  <si>
    <t xml:space="preserve">2026-08-08</t>
  </si>
  <si>
    <t xml:space="preserve">annual_budget_inr</t>
  </si>
  <si>
    <t xml:space="preserve">spent_completed_inr</t>
  </si>
  <si>
    <t xml:space="preserve">committed_in_progress_inr</t>
  </si>
  <si>
    <t xml:space="preserve">pending_recommendations_inr</t>
  </si>
  <si>
    <t xml:space="preserve">remaining_inr</t>
  </si>
  <si>
    <t xml:space="preserve">budget_used_pct</t>
  </si>
  <si>
    <t xml:space="preserve">category</t>
  </si>
  <si>
    <t xml:space="preserve">required_by_projects</t>
  </si>
  <si>
    <t xml:space="preserve">max_min_level_required</t>
  </si>
  <si>
    <t xml:space="preserve">has_critical_requirement</t>
  </si>
  <si>
    <t xml:space="preserve">qualified_employees</t>
  </si>
  <si>
    <t xml:space="preserve">qualified_available</t>
  </si>
  <si>
    <t xml:space="preserve">near_qualified_1_2_below</t>
  </si>
  <si>
    <t xml:space="preserve">employees_interested_4plus</t>
  </si>
  <si>
    <t xml:space="preserve">bench_status</t>
  </si>
  <si>
    <t xml:space="preserve">P03|P05|P06|P08|P10|P11</t>
  </si>
  <si>
    <t xml:space="preserve">S02</t>
  </si>
  <si>
    <t xml:space="preserve">Java</t>
  </si>
  <si>
    <t xml:space="preserve">P01|P04|P06|P09</t>
  </si>
  <si>
    <t xml:space="preserve">S12</t>
  </si>
  <si>
    <t xml:space="preserve">FastAPI</t>
  </si>
  <si>
    <t xml:space="preserve">P05|P07|P10</t>
  </si>
  <si>
    <t xml:space="preserve">S19</t>
  </si>
  <si>
    <t xml:space="preserve">Cloud Computing</t>
  </si>
  <si>
    <t xml:space="preserve">P08|P09|P11</t>
  </si>
  <si>
    <t xml:space="preserve">S22</t>
  </si>
  <si>
    <t xml:space="preserve">GCP</t>
  </si>
  <si>
    <t xml:space="preserve">P02|P09|P11</t>
  </si>
  <si>
    <t xml:space="preserve">Terraform</t>
  </si>
  <si>
    <t xml:space="preserve">P02|P11</t>
  </si>
  <si>
    <t xml:space="preserve">P08|P09</t>
  </si>
  <si>
    <t xml:space="preserve">S30</t>
  </si>
  <si>
    <t xml:space="preserve">Power BI</t>
  </si>
  <si>
    <t xml:space="preserve">S33</t>
  </si>
  <si>
    <t xml:space="preserve">Apache Spark</t>
  </si>
  <si>
    <t xml:space="preserve">P05|P07</t>
  </si>
  <si>
    <t xml:space="preserve">S34</t>
  </si>
  <si>
    <t xml:space="preserve">ETL/Airflow</t>
  </si>
  <si>
    <t xml:space="preserve">Statistics</t>
  </si>
  <si>
    <t xml:space="preserve">S37</t>
  </si>
  <si>
    <t xml:space="preserve">Machine Learning</t>
  </si>
  <si>
    <t xml:space="preserve">P03|P05</t>
  </si>
  <si>
    <t xml:space="preserve">Cybersecurity</t>
  </si>
  <si>
    <t xml:space="preserve">Security</t>
  </si>
  <si>
    <t xml:space="preserve">P05|P10</t>
  </si>
  <si>
    <t xml:space="preserve">S42</t>
  </si>
  <si>
    <t xml:space="preserve">Flutter</t>
  </si>
  <si>
    <t xml:space="preserve">Mobile</t>
  </si>
  <si>
    <t xml:space="preserve">S44</t>
  </si>
  <si>
    <t xml:space="preserve">UI/UX Design</t>
  </si>
  <si>
    <t xml:space="preserve">Design</t>
  </si>
  <si>
    <t xml:space="preserve">S45</t>
  </si>
  <si>
    <t xml:space="preserve">QA/Testing</t>
  </si>
  <si>
    <t xml:space="preserve">Quality</t>
  </si>
  <si>
    <t xml:space="preserve">P01|P04|P10</t>
  </si>
  <si>
    <t xml:space="preserve">skill</t>
  </si>
  <si>
    <t xml:space="preserve">gap</t>
  </si>
  <si>
    <t xml:space="preserve">action</t>
  </si>
  <si>
    <t xml:space="preserve">open_gaps</t>
  </si>
  <si>
    <t xml:space="preserve">in_training</t>
  </si>
  <si>
    <t xml:space="preserve">critical_gaps</t>
  </si>
  <si>
    <t xml:space="preserve">avg_gap_levels</t>
  </si>
  <si>
    <t xml:space="preserve">top_priority_label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</si>
</sst>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;\(#,##0\);\-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7</v>
      </c>
    </row>
    <row r="6" customFormat="false" ht="15" hidden="false" customHeight="false" outlineLevel="0" collapsed="false">
      <c r="A6" s="2" t="s">
        <v>8</v>
      </c>
      <c r="B6" s="2" t="s">
        <v>6</v>
      </c>
      <c r="C6" s="2" t="s">
        <v>9</v>
      </c>
    </row>
    <row r="7" customFormat="false" ht="15" hidden="false" customHeight="false" outlineLevel="0" collapsed="false">
      <c r="A7" s="2" t="s">
        <v>10</v>
      </c>
      <c r="B7" s="2" t="s">
        <v>6</v>
      </c>
      <c r="C7" s="2" t="s">
        <v>11</v>
      </c>
    </row>
    <row r="8" customFormat="false" ht="15" hidden="false" customHeight="false" outlineLevel="0" collapsed="false">
      <c r="A8" s="2" t="s">
        <v>12</v>
      </c>
      <c r="B8" s="2" t="s">
        <v>6</v>
      </c>
      <c r="C8" s="2" t="s">
        <v>13</v>
      </c>
    </row>
    <row r="9" customFormat="false" ht="15" hidden="false" customHeight="false" outlineLevel="0" collapsed="false">
      <c r="A9" s="2" t="s">
        <v>14</v>
      </c>
      <c r="B9" s="2" t="s">
        <v>6</v>
      </c>
      <c r="C9" s="2" t="s">
        <v>15</v>
      </c>
    </row>
    <row r="10" customFormat="false" ht="15" hidden="false" customHeight="false" outlineLevel="0" collapsed="false">
      <c r="A10" s="2" t="s">
        <v>16</v>
      </c>
      <c r="B10" s="2" t="s">
        <v>6</v>
      </c>
      <c r="C10" s="2" t="s">
        <v>17</v>
      </c>
    </row>
    <row r="11" customFormat="false" ht="15" hidden="false" customHeight="false" outlineLevel="0" collapsed="false">
      <c r="A11" s="2" t="s">
        <v>18</v>
      </c>
      <c r="B11" s="2" t="s">
        <v>19</v>
      </c>
      <c r="C11" s="2" t="s">
        <v>20</v>
      </c>
    </row>
    <row r="12" customFormat="false" ht="15" hidden="false" customHeight="false" outlineLevel="0" collapsed="false">
      <c r="A12" s="2" t="s">
        <v>21</v>
      </c>
      <c r="B12" s="2" t="s">
        <v>19</v>
      </c>
      <c r="C12" s="2" t="s">
        <v>22</v>
      </c>
    </row>
    <row r="13" customFormat="false" ht="15" hidden="false" customHeight="false" outlineLevel="0" collapsed="false">
      <c r="A13" s="2" t="s">
        <v>23</v>
      </c>
      <c r="B13" s="2" t="s">
        <v>19</v>
      </c>
      <c r="C13" s="2" t="s">
        <v>24</v>
      </c>
    </row>
    <row r="14" customFormat="false" ht="15" hidden="false" customHeight="false" outlineLevel="0" collapsed="false">
      <c r="A14" s="2" t="s">
        <v>25</v>
      </c>
      <c r="B14" s="2" t="s">
        <v>19</v>
      </c>
      <c r="C14" s="2" t="s">
        <v>26</v>
      </c>
    </row>
    <row r="15" customFormat="false" ht="15" hidden="false" customHeight="false" outlineLevel="0" collapsed="false">
      <c r="A15" s="2" t="s">
        <v>27</v>
      </c>
      <c r="B15" s="2" t="s">
        <v>19</v>
      </c>
      <c r="C15" s="2" t="s">
        <v>28</v>
      </c>
    </row>
    <row r="16" customFormat="false" ht="15" hidden="false" customHeight="false" outlineLevel="0" collapsed="false">
      <c r="A16" s="2" t="s">
        <v>29</v>
      </c>
      <c r="B16" s="2" t="s">
        <v>19</v>
      </c>
      <c r="C16" s="2" t="s">
        <v>30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2" t="s">
        <v>31</v>
      </c>
      <c r="B18" s="2"/>
      <c r="C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2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</row>
    <row r="2" customFormat="false" ht="15" hidden="false" customHeight="false" outlineLevel="0" collapsed="false">
      <c r="A2" s="2" t="s">
        <v>35</v>
      </c>
      <c r="B2" s="5" t="n">
        <v>87.5</v>
      </c>
      <c r="C2" s="2" t="s">
        <v>36</v>
      </c>
    </row>
    <row r="3" customFormat="false" ht="15" hidden="false" customHeight="false" outlineLevel="0" collapsed="false">
      <c r="A3" s="2" t="s">
        <v>37</v>
      </c>
      <c r="B3" s="5" t="n">
        <v>50</v>
      </c>
      <c r="C3" s="2" t="s">
        <v>38</v>
      </c>
    </row>
    <row r="4" customFormat="false" ht="15" hidden="false" customHeight="false" outlineLevel="0" collapsed="false">
      <c r="A4" s="2" t="s">
        <v>39</v>
      </c>
      <c r="B4" s="5" t="n">
        <v>80</v>
      </c>
      <c r="C4" s="2" t="s">
        <v>40</v>
      </c>
    </row>
    <row r="5" customFormat="false" ht="15" hidden="false" customHeight="false" outlineLevel="0" collapsed="false">
      <c r="A5" s="2" t="s">
        <v>41</v>
      </c>
      <c r="B5" s="5" t="n">
        <v>80</v>
      </c>
      <c r="C5" s="2" t="s">
        <v>42</v>
      </c>
    </row>
    <row r="6" customFormat="false" ht="15" hidden="false" customHeight="false" outlineLevel="0" collapsed="false">
      <c r="A6" s="2" t="s">
        <v>43</v>
      </c>
      <c r="B6" s="5" t="n">
        <v>100</v>
      </c>
      <c r="C6" s="2" t="s">
        <v>44</v>
      </c>
    </row>
    <row r="7" customFormat="false" ht="15" hidden="false" customHeight="false" outlineLevel="0" collapsed="false">
      <c r="A7" s="2" t="s">
        <v>45</v>
      </c>
      <c r="B7" s="5" t="s">
        <v>46</v>
      </c>
      <c r="C7" s="2" t="s">
        <v>47</v>
      </c>
    </row>
    <row r="8" customFormat="false" ht="15" hidden="false" customHeight="false" outlineLevel="0" collapsed="false">
      <c r="A8" s="2" t="s">
        <v>48</v>
      </c>
      <c r="B8" s="5" t="n">
        <v>60</v>
      </c>
      <c r="C8" s="2" t="s">
        <v>49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3"/>
    <col collapsed="false" customWidth="true" hidden="false" outlineLevel="0" max="9" min="9" style="0" width="48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1"/>
  </cols>
  <sheetData>
    <row r="1" customFormat="false" ht="15" hidden="false" customHeight="fals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</row>
    <row r="2" customFormat="false" ht="15" hidden="false" customHeight="false" outlineLevel="0" collapsed="false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n">
        <v>20</v>
      </c>
      <c r="G2" s="2" t="n">
        <v>40</v>
      </c>
      <c r="H2" s="2" t="n">
        <f aca="false">ROUND(F2/G2*100,0)</f>
        <v>50</v>
      </c>
      <c r="I2" s="2" t="str">
        <f aca="false">IF(H2&gt;=workload_config!$B$2,"Overloaded",IF(H2&lt;workload_config!$B$3,"Underutilized","Optimal"))</f>
        <v>Optimal</v>
      </c>
      <c r="J2" s="2" t="n">
        <v>2</v>
      </c>
      <c r="K2" s="2" t="n">
        <v>0</v>
      </c>
      <c r="L2" s="2" t="n">
        <v>20</v>
      </c>
      <c r="M2" s="2" t="n">
        <v>0</v>
      </c>
    </row>
    <row r="3" customFormat="false" ht="15" hidden="false" customHeight="false" outlineLevel="0" collapsed="false">
      <c r="A3" s="2" t="s">
        <v>63</v>
      </c>
      <c r="B3" s="2" t="s">
        <v>64</v>
      </c>
      <c r="C3" s="2" t="s">
        <v>68</v>
      </c>
      <c r="D3" s="2" t="s">
        <v>69</v>
      </c>
      <c r="E3" s="2" t="s">
        <v>67</v>
      </c>
      <c r="F3" s="2" t="n">
        <v>7</v>
      </c>
      <c r="G3" s="2" t="n">
        <v>40</v>
      </c>
      <c r="H3" s="2" t="n">
        <f aca="false">ROUND(F3/G3*100,0)</f>
        <v>18</v>
      </c>
      <c r="I3" s="2" t="str">
        <f aca="false">IF(H3&gt;=workload_config!$B$2,"Overloaded",IF(H3&lt;workload_config!$B$3,"Underutilized","Optimal"))</f>
        <v>Underutilized</v>
      </c>
      <c r="J3" s="2" t="n">
        <v>1</v>
      </c>
      <c r="K3" s="2" t="n">
        <v>7</v>
      </c>
      <c r="L3" s="2" t="n">
        <v>0</v>
      </c>
      <c r="M3" s="2" t="n">
        <v>0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70</v>
      </c>
      <c r="D4" s="2" t="s">
        <v>71</v>
      </c>
      <c r="E4" s="2" t="s">
        <v>67</v>
      </c>
      <c r="F4" s="2" t="n">
        <v>12</v>
      </c>
      <c r="G4" s="2" t="n">
        <v>40</v>
      </c>
      <c r="H4" s="2" t="n">
        <f aca="false">ROUND(F4/G4*100,0)</f>
        <v>30</v>
      </c>
      <c r="I4" s="2" t="str">
        <f aca="false">IF(H4&gt;=workload_config!$B$2,"Overloaded",IF(H4&lt;workload_config!$B$3,"Underutilized","Optimal"))</f>
        <v>Underutilized</v>
      </c>
      <c r="J4" s="2" t="n">
        <v>1</v>
      </c>
      <c r="K4" s="2" t="n">
        <v>12</v>
      </c>
      <c r="L4" s="2" t="n">
        <v>0</v>
      </c>
      <c r="M4" s="2" t="n">
        <v>0</v>
      </c>
    </row>
    <row r="5" customFormat="false" ht="15" hidden="false" customHeight="false" outlineLevel="0" collapsed="false">
      <c r="A5" s="2" t="s">
        <v>63</v>
      </c>
      <c r="B5" s="2" t="s">
        <v>64</v>
      </c>
      <c r="C5" s="2" t="s">
        <v>72</v>
      </c>
      <c r="D5" s="2" t="s">
        <v>73</v>
      </c>
      <c r="E5" s="2" t="s">
        <v>67</v>
      </c>
      <c r="F5" s="2" t="n">
        <v>8</v>
      </c>
      <c r="G5" s="2" t="n">
        <v>40</v>
      </c>
      <c r="H5" s="2" t="n">
        <f aca="false">ROUND(F5/G5*100,0)</f>
        <v>20</v>
      </c>
      <c r="I5" s="2" t="str">
        <f aca="false">IF(H5&gt;=workload_config!$B$2,"Overloaded",IF(H5&lt;workload_config!$B$3,"Underutilized","Optimal"))</f>
        <v>Underutilized</v>
      </c>
      <c r="J5" s="2" t="n">
        <v>1</v>
      </c>
      <c r="K5" s="2" t="n">
        <v>8</v>
      </c>
      <c r="L5" s="2" t="n">
        <v>0</v>
      </c>
      <c r="M5" s="2" t="n">
        <v>0</v>
      </c>
    </row>
    <row r="6" customFormat="false" ht="15" hidden="false" customHeight="false" outlineLevel="0" collapsed="false">
      <c r="A6" s="2" t="s">
        <v>63</v>
      </c>
      <c r="B6" s="2" t="s">
        <v>64</v>
      </c>
      <c r="C6" s="2" t="s">
        <v>74</v>
      </c>
      <c r="D6" s="2" t="s">
        <v>75</v>
      </c>
      <c r="E6" s="2" t="s">
        <v>67</v>
      </c>
      <c r="F6" s="2" t="n">
        <v>11</v>
      </c>
      <c r="G6" s="2" t="n">
        <v>40</v>
      </c>
      <c r="H6" s="2" t="n">
        <f aca="false">ROUND(F6/G6*100,0)</f>
        <v>28</v>
      </c>
      <c r="I6" s="2" t="str">
        <f aca="false">IF(H6&gt;=workload_config!$B$2,"Overloaded",IF(H6&lt;workload_config!$B$3,"Underutilized","Optimal"))</f>
        <v>Underutilized</v>
      </c>
      <c r="J6" s="2" t="n">
        <v>1</v>
      </c>
      <c r="K6" s="2" t="n">
        <v>11</v>
      </c>
      <c r="L6" s="2" t="n">
        <v>0</v>
      </c>
      <c r="M6" s="2" t="n">
        <v>0</v>
      </c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76</v>
      </c>
      <c r="D7" s="2" t="s">
        <v>77</v>
      </c>
      <c r="E7" s="2" t="s">
        <v>67</v>
      </c>
      <c r="F7" s="2" t="n">
        <v>20</v>
      </c>
      <c r="G7" s="2" t="n">
        <v>40</v>
      </c>
      <c r="H7" s="2" t="n">
        <f aca="false">ROUND(F7/G7*100,0)</f>
        <v>50</v>
      </c>
      <c r="I7" s="2" t="str">
        <f aca="false">IF(H7&gt;=workload_config!$B$2,"Overloaded",IF(H7&lt;workload_config!$B$3,"Underutilized","Optimal"))</f>
        <v>Optimal</v>
      </c>
      <c r="J7" s="2" t="n">
        <v>2</v>
      </c>
      <c r="K7" s="2" t="n">
        <v>20</v>
      </c>
      <c r="L7" s="2" t="n">
        <v>0</v>
      </c>
      <c r="M7" s="2" t="n">
        <v>0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s">
        <v>78</v>
      </c>
      <c r="D8" s="2" t="s">
        <v>79</v>
      </c>
      <c r="E8" s="2" t="s">
        <v>67</v>
      </c>
      <c r="F8" s="2" t="n">
        <v>20</v>
      </c>
      <c r="G8" s="2" t="n">
        <v>40</v>
      </c>
      <c r="H8" s="2" t="n">
        <f aca="false">ROUND(F8/G8*100,0)</f>
        <v>50</v>
      </c>
      <c r="I8" s="2" t="str">
        <f aca="false">IF(H8&gt;=workload_config!$B$2,"Overloaded",IF(H8&lt;workload_config!$B$3,"Underutilized","Optimal"))</f>
        <v>Optimal</v>
      </c>
      <c r="J8" s="2" t="n">
        <v>2</v>
      </c>
      <c r="K8" s="2" t="n">
        <v>20</v>
      </c>
      <c r="L8" s="2" t="n">
        <v>0</v>
      </c>
      <c r="M8" s="2" t="n">
        <v>0</v>
      </c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80</v>
      </c>
      <c r="D9" s="2" t="s">
        <v>81</v>
      </c>
      <c r="E9" s="2" t="s">
        <v>67</v>
      </c>
      <c r="F9" s="2" t="n">
        <v>11</v>
      </c>
      <c r="G9" s="2" t="n">
        <v>40</v>
      </c>
      <c r="H9" s="2" t="n">
        <f aca="false">ROUND(F9/G9*100,0)</f>
        <v>28</v>
      </c>
      <c r="I9" s="2" t="str">
        <f aca="false">IF(H9&gt;=workload_config!$B$2,"Overloaded",IF(H9&lt;workload_config!$B$3,"Underutilized","Optimal"))</f>
        <v>Underutilized</v>
      </c>
      <c r="J9" s="2" t="n">
        <v>1</v>
      </c>
      <c r="K9" s="2" t="n">
        <v>0</v>
      </c>
      <c r="L9" s="2" t="n">
        <v>11</v>
      </c>
      <c r="M9" s="2" t="n">
        <v>0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82</v>
      </c>
      <c r="D10" s="2" t="s">
        <v>83</v>
      </c>
      <c r="E10" s="2" t="s">
        <v>67</v>
      </c>
      <c r="F10" s="2" t="n">
        <v>10</v>
      </c>
      <c r="G10" s="2" t="n">
        <v>40</v>
      </c>
      <c r="H10" s="2" t="n">
        <f aca="false">ROUND(F10/G10*100,0)</f>
        <v>25</v>
      </c>
      <c r="I10" s="2" t="str">
        <f aca="false">IF(H10&gt;=workload_config!$B$2,"Overloaded",IF(H10&lt;workload_config!$B$3,"Underutilized","Optimal"))</f>
        <v>Underutilized</v>
      </c>
      <c r="J10" s="2" t="n">
        <v>1</v>
      </c>
      <c r="K10" s="2" t="n">
        <v>0</v>
      </c>
      <c r="L10" s="2" t="n">
        <v>10</v>
      </c>
      <c r="M10" s="2" t="n">
        <v>0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2" t="s">
        <v>84</v>
      </c>
      <c r="D11" s="2" t="s">
        <v>85</v>
      </c>
      <c r="E11" s="2" t="s">
        <v>67</v>
      </c>
      <c r="F11" s="2" t="n">
        <v>11</v>
      </c>
      <c r="G11" s="2" t="n">
        <v>40</v>
      </c>
      <c r="H11" s="2" t="n">
        <f aca="false">ROUND(F11/G11*100,0)</f>
        <v>28</v>
      </c>
      <c r="I11" s="2" t="str">
        <f aca="false">IF(H11&gt;=workload_config!$B$2,"Overloaded",IF(H11&lt;workload_config!$B$3,"Underutilized","Optimal"))</f>
        <v>Underutilized</v>
      </c>
      <c r="J11" s="2" t="n">
        <v>1</v>
      </c>
      <c r="K11" s="2" t="n">
        <v>11</v>
      </c>
      <c r="L11" s="2" t="n">
        <v>0</v>
      </c>
      <c r="M11" s="2" t="n">
        <v>0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86</v>
      </c>
      <c r="D12" s="2" t="s">
        <v>87</v>
      </c>
      <c r="E12" s="2" t="s">
        <v>67</v>
      </c>
      <c r="F12" s="2" t="n">
        <v>0</v>
      </c>
      <c r="G12" s="2" t="n">
        <v>40</v>
      </c>
      <c r="H12" s="2" t="n">
        <f aca="false">ROUND(F12/G12*100,0)</f>
        <v>0</v>
      </c>
      <c r="I12" s="2" t="str">
        <f aca="false">IF(H12&gt;=workload_config!$B$2,"Overloaded",IF(H12&lt;workload_config!$B$3,"Underutilized","Optimal"))</f>
        <v>Underutilized</v>
      </c>
      <c r="J12" s="2" t="n">
        <v>0</v>
      </c>
      <c r="K12" s="2" t="n">
        <v>0</v>
      </c>
      <c r="L12" s="2" t="n">
        <v>0</v>
      </c>
      <c r="M12" s="2" t="n">
        <v>0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88</v>
      </c>
      <c r="D13" s="2" t="s">
        <v>89</v>
      </c>
      <c r="E13" s="2" t="s">
        <v>67</v>
      </c>
      <c r="F13" s="2" t="n">
        <v>0</v>
      </c>
      <c r="G13" s="2" t="n">
        <v>40</v>
      </c>
      <c r="H13" s="2" t="n">
        <f aca="false">ROUND(F13/G13*100,0)</f>
        <v>0</v>
      </c>
      <c r="I13" s="2" t="str">
        <f aca="false">IF(H13&gt;=workload_config!$B$2,"Overloaded",IF(H13&lt;workload_config!$B$3,"Underutilized","Optimal"))</f>
        <v>Underutilized</v>
      </c>
      <c r="J13" s="2" t="n">
        <v>0</v>
      </c>
      <c r="K13" s="2" t="n">
        <v>0</v>
      </c>
      <c r="L13" s="2" t="n">
        <v>0</v>
      </c>
      <c r="M13" s="2" t="n">
        <v>0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90</v>
      </c>
      <c r="D14" s="2" t="s">
        <v>91</v>
      </c>
      <c r="E14" s="2" t="s">
        <v>67</v>
      </c>
      <c r="F14" s="2" t="n">
        <v>22</v>
      </c>
      <c r="G14" s="2" t="n">
        <v>40</v>
      </c>
      <c r="H14" s="2" t="n">
        <f aca="false">ROUND(F14/G14*100,0)</f>
        <v>55</v>
      </c>
      <c r="I14" s="2" t="str">
        <f aca="false">IF(H14&gt;=workload_config!$B$2,"Overloaded",IF(H14&lt;workload_config!$B$3,"Underutilized","Optimal"))</f>
        <v>Optimal</v>
      </c>
      <c r="J14" s="2" t="n">
        <v>2</v>
      </c>
      <c r="K14" s="2" t="n">
        <v>22</v>
      </c>
      <c r="L14" s="2" t="n">
        <v>0</v>
      </c>
      <c r="M14" s="2" t="n">
        <v>0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s">
        <v>92</v>
      </c>
      <c r="D15" s="2" t="s">
        <v>93</v>
      </c>
      <c r="E15" s="2" t="s">
        <v>67</v>
      </c>
      <c r="F15" s="2" t="n">
        <v>0</v>
      </c>
      <c r="G15" s="2" t="n">
        <v>40</v>
      </c>
      <c r="H15" s="2" t="n">
        <f aca="false">ROUND(F15/G15*100,0)</f>
        <v>0</v>
      </c>
      <c r="I15" s="2" t="str">
        <f aca="false">IF(H15&gt;=workload_config!$B$2,"Overloaded",IF(H15&lt;workload_config!$B$3,"Underutilized","Optimal"))</f>
        <v>Underutilized</v>
      </c>
      <c r="J15" s="2" t="n">
        <v>0</v>
      </c>
      <c r="K15" s="2" t="n">
        <v>0</v>
      </c>
      <c r="L15" s="2" t="n">
        <v>0</v>
      </c>
      <c r="M15" s="2" t="n">
        <v>0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94</v>
      </c>
      <c r="D16" s="2" t="s">
        <v>95</v>
      </c>
      <c r="E16" s="2" t="s">
        <v>96</v>
      </c>
      <c r="F16" s="2" t="n">
        <v>0</v>
      </c>
      <c r="G16" s="2" t="n">
        <v>40</v>
      </c>
      <c r="H16" s="2" t="n">
        <f aca="false">ROUND(F16/G16*100,0)</f>
        <v>0</v>
      </c>
      <c r="I16" s="2" t="str">
        <f aca="false">IF(H16&gt;=workload_config!$B$2,"Overloaded",IF(H16&lt;workload_config!$B$3,"Underutilized","Optimal"))</f>
        <v>Underutilized</v>
      </c>
      <c r="J16" s="2" t="n">
        <v>0</v>
      </c>
      <c r="K16" s="2" t="n">
        <v>0</v>
      </c>
      <c r="L16" s="2" t="n">
        <v>0</v>
      </c>
      <c r="M16" s="2" t="n">
        <v>0</v>
      </c>
    </row>
    <row r="17" customFormat="false" ht="15" hidden="false" customHeight="false" outlineLevel="0" collapsed="false">
      <c r="A17" s="2" t="s">
        <v>63</v>
      </c>
      <c r="B17" s="2" t="s">
        <v>64</v>
      </c>
      <c r="C17" s="2" t="s">
        <v>97</v>
      </c>
      <c r="D17" s="2" t="s">
        <v>98</v>
      </c>
      <c r="E17" s="2" t="s">
        <v>96</v>
      </c>
      <c r="F17" s="2" t="n">
        <v>20</v>
      </c>
      <c r="G17" s="2" t="n">
        <v>40</v>
      </c>
      <c r="H17" s="2" t="n">
        <f aca="false">ROUND(F17/G17*100,0)</f>
        <v>50</v>
      </c>
      <c r="I17" s="2" t="str">
        <f aca="false">IF(H17&gt;=workload_config!$B$2,"Overloaded",IF(H17&lt;workload_config!$B$3,"Underutilized","Optimal"))</f>
        <v>Optimal</v>
      </c>
      <c r="J17" s="2" t="n">
        <v>2</v>
      </c>
      <c r="K17" s="2" t="n">
        <v>20</v>
      </c>
      <c r="L17" s="2" t="n">
        <v>0</v>
      </c>
      <c r="M17" s="2" t="n">
        <v>0</v>
      </c>
    </row>
    <row r="18" customFormat="false" ht="15" hidden="false" customHeight="false" outlineLevel="0" collapsed="false">
      <c r="A18" s="2" t="s">
        <v>63</v>
      </c>
      <c r="B18" s="2" t="s">
        <v>64</v>
      </c>
      <c r="C18" s="2" t="s">
        <v>99</v>
      </c>
      <c r="D18" s="2" t="s">
        <v>100</v>
      </c>
      <c r="E18" s="2" t="s">
        <v>96</v>
      </c>
      <c r="F18" s="2" t="n">
        <v>12</v>
      </c>
      <c r="G18" s="2" t="n">
        <v>40</v>
      </c>
      <c r="H18" s="2" t="n">
        <f aca="false">ROUND(F18/G18*100,0)</f>
        <v>30</v>
      </c>
      <c r="I18" s="2" t="str">
        <f aca="false">IF(H18&gt;=workload_config!$B$2,"Overloaded",IF(H18&lt;workload_config!$B$3,"Underutilized","Optimal"))</f>
        <v>Underutilized</v>
      </c>
      <c r="J18" s="2" t="n">
        <v>1</v>
      </c>
      <c r="K18" s="2" t="n">
        <v>12</v>
      </c>
      <c r="L18" s="2" t="n">
        <v>0</v>
      </c>
      <c r="M18" s="2" t="n">
        <v>0</v>
      </c>
    </row>
    <row r="19" customFormat="false" ht="15" hidden="false" customHeight="false" outlineLevel="0" collapsed="false">
      <c r="A19" s="2" t="s">
        <v>63</v>
      </c>
      <c r="B19" s="2" t="s">
        <v>64</v>
      </c>
      <c r="C19" s="2" t="s">
        <v>101</v>
      </c>
      <c r="D19" s="2" t="s">
        <v>102</v>
      </c>
      <c r="E19" s="2" t="s">
        <v>96</v>
      </c>
      <c r="F19" s="2" t="n">
        <v>21</v>
      </c>
      <c r="G19" s="2" t="n">
        <v>40</v>
      </c>
      <c r="H19" s="2" t="n">
        <f aca="false">ROUND(F19/G19*100,0)</f>
        <v>53</v>
      </c>
      <c r="I19" s="2" t="str">
        <f aca="false">IF(H19&gt;=workload_config!$B$2,"Overloaded",IF(H19&lt;workload_config!$B$3,"Underutilized","Optimal"))</f>
        <v>Optimal</v>
      </c>
      <c r="J19" s="2" t="n">
        <v>2</v>
      </c>
      <c r="K19" s="2" t="n">
        <v>21</v>
      </c>
      <c r="L19" s="2" t="n">
        <v>0</v>
      </c>
      <c r="M19" s="2" t="n">
        <v>0</v>
      </c>
    </row>
    <row r="20" customFormat="false" ht="15" hidden="false" customHeight="false" outlineLevel="0" collapsed="false">
      <c r="A20" s="2" t="s">
        <v>63</v>
      </c>
      <c r="B20" s="2" t="s">
        <v>64</v>
      </c>
      <c r="C20" s="2" t="s">
        <v>103</v>
      </c>
      <c r="D20" s="2" t="s">
        <v>104</v>
      </c>
      <c r="E20" s="2" t="s">
        <v>96</v>
      </c>
      <c r="F20" s="2" t="n">
        <v>27</v>
      </c>
      <c r="G20" s="2" t="n">
        <v>40</v>
      </c>
      <c r="H20" s="2" t="n">
        <f aca="false">ROUND(F20/G20*100,0)</f>
        <v>68</v>
      </c>
      <c r="I20" s="2" t="str">
        <f aca="false">IF(H20&gt;=workload_config!$B$2,"Overloaded",IF(H20&lt;workload_config!$B$3,"Underutilized","Optimal"))</f>
        <v>Optimal</v>
      </c>
      <c r="J20" s="2" t="n">
        <v>3</v>
      </c>
      <c r="K20" s="2" t="n">
        <v>9</v>
      </c>
      <c r="L20" s="2" t="n">
        <v>18</v>
      </c>
      <c r="M20" s="2" t="n">
        <v>0</v>
      </c>
    </row>
    <row r="21" customFormat="false" ht="15" hidden="false" customHeight="false" outlineLevel="0" collapsed="false">
      <c r="A21" s="2" t="s">
        <v>63</v>
      </c>
      <c r="B21" s="2" t="s">
        <v>64</v>
      </c>
      <c r="C21" s="2" t="s">
        <v>105</v>
      </c>
      <c r="D21" s="2" t="s">
        <v>106</v>
      </c>
      <c r="E21" s="2" t="s">
        <v>96</v>
      </c>
      <c r="F21" s="2" t="n">
        <v>9</v>
      </c>
      <c r="G21" s="2" t="n">
        <v>40</v>
      </c>
      <c r="H21" s="2" t="n">
        <f aca="false">ROUND(F21/G21*100,0)</f>
        <v>23</v>
      </c>
      <c r="I21" s="2" t="str">
        <f aca="false">IF(H21&gt;=workload_config!$B$2,"Overloaded",IF(H21&lt;workload_config!$B$3,"Underutilized","Optimal"))</f>
        <v>Underutilized</v>
      </c>
      <c r="J21" s="2" t="n">
        <v>1</v>
      </c>
      <c r="K21" s="2" t="n">
        <v>9</v>
      </c>
      <c r="L21" s="2" t="n">
        <v>0</v>
      </c>
      <c r="M21" s="2" t="n">
        <v>0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107</v>
      </c>
      <c r="D22" s="2" t="s">
        <v>108</v>
      </c>
      <c r="E22" s="2" t="s">
        <v>96</v>
      </c>
      <c r="F22" s="2" t="n">
        <v>0</v>
      </c>
      <c r="G22" s="2" t="n">
        <v>40</v>
      </c>
      <c r="H22" s="2" t="n">
        <f aca="false">ROUND(F22/G22*100,0)</f>
        <v>0</v>
      </c>
      <c r="I22" s="2" t="str">
        <f aca="false">IF(H22&gt;=workload_config!$B$2,"Overloaded",IF(H22&lt;workload_config!$B$3,"Underutilized","Optimal"))</f>
        <v>Underutilized</v>
      </c>
      <c r="J22" s="2" t="n">
        <v>0</v>
      </c>
      <c r="K22" s="2" t="n">
        <v>0</v>
      </c>
      <c r="L22" s="2" t="n">
        <v>0</v>
      </c>
      <c r="M22" s="2" t="n">
        <v>0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2" t="s">
        <v>109</v>
      </c>
      <c r="D23" s="2" t="s">
        <v>110</v>
      </c>
      <c r="E23" s="2" t="s">
        <v>96</v>
      </c>
      <c r="F23" s="2" t="n">
        <v>17</v>
      </c>
      <c r="G23" s="2" t="n">
        <v>40</v>
      </c>
      <c r="H23" s="2" t="n">
        <f aca="false">ROUND(F23/G23*100,0)</f>
        <v>43</v>
      </c>
      <c r="I23" s="2" t="str">
        <f aca="false">IF(H23&gt;=workload_config!$B$2,"Overloaded",IF(H23&lt;workload_config!$B$3,"Underutilized","Optimal"))</f>
        <v>Underutilized</v>
      </c>
      <c r="J23" s="2" t="n">
        <v>2</v>
      </c>
      <c r="K23" s="2" t="n">
        <v>17</v>
      </c>
      <c r="L23" s="2" t="n">
        <v>0</v>
      </c>
      <c r="M23" s="2" t="n">
        <v>0</v>
      </c>
    </row>
    <row r="24" customFormat="false" ht="15" hidden="false" customHeight="false" outlineLevel="0" collapsed="false">
      <c r="A24" s="2" t="s">
        <v>63</v>
      </c>
      <c r="B24" s="2" t="s">
        <v>64</v>
      </c>
      <c r="C24" s="2" t="s">
        <v>111</v>
      </c>
      <c r="D24" s="2" t="s">
        <v>112</v>
      </c>
      <c r="E24" s="2" t="s">
        <v>96</v>
      </c>
      <c r="F24" s="2" t="n">
        <v>9</v>
      </c>
      <c r="G24" s="2" t="n">
        <v>40</v>
      </c>
      <c r="H24" s="2" t="n">
        <f aca="false">ROUND(F24/G24*100,0)</f>
        <v>23</v>
      </c>
      <c r="I24" s="2" t="str">
        <f aca="false">IF(H24&gt;=workload_config!$B$2,"Overloaded",IF(H24&lt;workload_config!$B$3,"Underutilized","Optimal"))</f>
        <v>Underutilized</v>
      </c>
      <c r="J24" s="2" t="n">
        <v>1</v>
      </c>
      <c r="K24" s="2" t="n">
        <v>9</v>
      </c>
      <c r="L24" s="2" t="n">
        <v>0</v>
      </c>
      <c r="M24" s="2" t="n">
        <v>0</v>
      </c>
    </row>
    <row r="25" customFormat="false" ht="15" hidden="false" customHeight="false" outlineLevel="0" collapsed="false">
      <c r="A25" s="2" t="s">
        <v>63</v>
      </c>
      <c r="B25" s="2" t="s">
        <v>64</v>
      </c>
      <c r="C25" s="2" t="s">
        <v>113</v>
      </c>
      <c r="D25" s="2" t="s">
        <v>114</v>
      </c>
      <c r="E25" s="2" t="s">
        <v>96</v>
      </c>
      <c r="F25" s="2" t="n">
        <v>7</v>
      </c>
      <c r="G25" s="2" t="n">
        <v>40</v>
      </c>
      <c r="H25" s="2" t="n">
        <f aca="false">ROUND(F25/G25*100,0)</f>
        <v>18</v>
      </c>
      <c r="I25" s="2" t="str">
        <f aca="false">IF(H25&gt;=workload_config!$B$2,"Overloaded",IF(H25&lt;workload_config!$B$3,"Underutilized","Optimal"))</f>
        <v>Underutilized</v>
      </c>
      <c r="J25" s="2" t="n">
        <v>1</v>
      </c>
      <c r="K25" s="2" t="n">
        <v>7</v>
      </c>
      <c r="L25" s="2" t="n">
        <v>0</v>
      </c>
      <c r="M25" s="2" t="n">
        <v>0</v>
      </c>
    </row>
    <row r="26" customFormat="false" ht="15" hidden="false" customHeight="false" outlineLevel="0" collapsed="false">
      <c r="A26" s="2" t="s">
        <v>63</v>
      </c>
      <c r="B26" s="2" t="s">
        <v>64</v>
      </c>
      <c r="C26" s="2" t="s">
        <v>115</v>
      </c>
      <c r="D26" s="2" t="s">
        <v>116</v>
      </c>
      <c r="E26" s="2" t="s">
        <v>96</v>
      </c>
      <c r="F26" s="2" t="n">
        <v>13</v>
      </c>
      <c r="G26" s="2" t="n">
        <v>40</v>
      </c>
      <c r="H26" s="2" t="n">
        <f aca="false">ROUND(F26/G26*100,0)</f>
        <v>33</v>
      </c>
      <c r="I26" s="2" t="str">
        <f aca="false">IF(H26&gt;=workload_config!$B$2,"Overloaded",IF(H26&lt;workload_config!$B$3,"Underutilized","Optimal"))</f>
        <v>Underutilized</v>
      </c>
      <c r="J26" s="2" t="n">
        <v>1</v>
      </c>
      <c r="K26" s="2" t="n">
        <v>13</v>
      </c>
      <c r="L26" s="2" t="n">
        <v>0</v>
      </c>
      <c r="M26" s="2" t="n">
        <v>0</v>
      </c>
    </row>
    <row r="27" customFormat="false" ht="15" hidden="false" customHeight="false" outlineLevel="0" collapsed="false">
      <c r="A27" s="2" t="s">
        <v>63</v>
      </c>
      <c r="B27" s="2" t="s">
        <v>64</v>
      </c>
      <c r="C27" s="2" t="s">
        <v>117</v>
      </c>
      <c r="D27" s="2" t="s">
        <v>118</v>
      </c>
      <c r="E27" s="2" t="s">
        <v>119</v>
      </c>
      <c r="F27" s="2" t="n">
        <v>0</v>
      </c>
      <c r="G27" s="2" t="n">
        <v>40</v>
      </c>
      <c r="H27" s="2" t="n">
        <f aca="false">ROUND(F27/G27*100,0)</f>
        <v>0</v>
      </c>
      <c r="I27" s="2" t="str">
        <f aca="false">IF(H27&gt;=workload_config!$B$2,"Overloaded",IF(H27&lt;workload_config!$B$3,"Underutilized","Optimal"))</f>
        <v>Underutilized</v>
      </c>
      <c r="J27" s="2" t="n">
        <v>0</v>
      </c>
      <c r="K27" s="2" t="n">
        <v>0</v>
      </c>
      <c r="L27" s="2" t="n">
        <v>0</v>
      </c>
      <c r="M27" s="2" t="n">
        <v>0</v>
      </c>
    </row>
    <row r="28" customFormat="false" ht="15" hidden="false" customHeight="false" outlineLevel="0" collapsed="false">
      <c r="A28" s="2" t="s">
        <v>63</v>
      </c>
      <c r="B28" s="2" t="s">
        <v>64</v>
      </c>
      <c r="C28" s="2" t="s">
        <v>120</v>
      </c>
      <c r="D28" s="2" t="s">
        <v>121</v>
      </c>
      <c r="E28" s="2" t="s">
        <v>119</v>
      </c>
      <c r="F28" s="2" t="n">
        <v>0</v>
      </c>
      <c r="G28" s="2" t="n">
        <v>40</v>
      </c>
      <c r="H28" s="2" t="n">
        <f aca="false">ROUND(F28/G28*100,0)</f>
        <v>0</v>
      </c>
      <c r="I28" s="2" t="str">
        <f aca="false">IF(H28&gt;=workload_config!$B$2,"Overloaded",IF(H28&lt;workload_config!$B$3,"Underutilized","Optimal"))</f>
        <v>Underutilized</v>
      </c>
      <c r="J28" s="2" t="n">
        <v>0</v>
      </c>
      <c r="K28" s="2" t="n">
        <v>0</v>
      </c>
      <c r="L28" s="2" t="n">
        <v>0</v>
      </c>
      <c r="M28" s="2" t="n">
        <v>0</v>
      </c>
    </row>
    <row r="29" customFormat="false" ht="15" hidden="false" customHeight="false" outlineLevel="0" collapsed="false">
      <c r="A29" s="2" t="s">
        <v>63</v>
      </c>
      <c r="B29" s="2" t="s">
        <v>64</v>
      </c>
      <c r="C29" s="2" t="s">
        <v>122</v>
      </c>
      <c r="D29" s="2" t="s">
        <v>123</v>
      </c>
      <c r="E29" s="2" t="s">
        <v>119</v>
      </c>
      <c r="F29" s="2" t="n">
        <v>17</v>
      </c>
      <c r="G29" s="2" t="n">
        <v>40</v>
      </c>
      <c r="H29" s="2" t="n">
        <f aca="false">ROUND(F29/G29*100,0)</f>
        <v>43</v>
      </c>
      <c r="I29" s="2" t="str">
        <f aca="false">IF(H29&gt;=workload_config!$B$2,"Overloaded",IF(H29&lt;workload_config!$B$3,"Underutilized","Optimal"))</f>
        <v>Underutilized</v>
      </c>
      <c r="J29" s="2" t="n">
        <v>2</v>
      </c>
      <c r="K29" s="2" t="n">
        <v>7</v>
      </c>
      <c r="L29" s="2" t="n">
        <v>10</v>
      </c>
      <c r="M29" s="2" t="n">
        <v>0</v>
      </c>
    </row>
    <row r="30" customFormat="false" ht="15" hidden="false" customHeight="false" outlineLevel="0" collapsed="false">
      <c r="A30" s="2" t="s">
        <v>63</v>
      </c>
      <c r="B30" s="2" t="s">
        <v>64</v>
      </c>
      <c r="C30" s="2" t="s">
        <v>124</v>
      </c>
      <c r="D30" s="2" t="s">
        <v>125</v>
      </c>
      <c r="E30" s="2" t="s">
        <v>119</v>
      </c>
      <c r="F30" s="2" t="n">
        <v>10</v>
      </c>
      <c r="G30" s="2" t="n">
        <v>40</v>
      </c>
      <c r="H30" s="2" t="n">
        <f aca="false">ROUND(F30/G30*100,0)</f>
        <v>25</v>
      </c>
      <c r="I30" s="2" t="str">
        <f aca="false">IF(H30&gt;=workload_config!$B$2,"Overloaded",IF(H30&lt;workload_config!$B$3,"Underutilized","Optimal"))</f>
        <v>Underutilized</v>
      </c>
      <c r="J30" s="2" t="n">
        <v>1</v>
      </c>
      <c r="K30" s="2" t="n">
        <v>10</v>
      </c>
      <c r="L30" s="2" t="n">
        <v>0</v>
      </c>
      <c r="M30" s="2" t="n">
        <v>0</v>
      </c>
    </row>
    <row r="31" customFormat="false" ht="15" hidden="false" customHeight="false" outlineLevel="0" collapsed="false">
      <c r="A31" s="2" t="s">
        <v>63</v>
      </c>
      <c r="B31" s="2" t="s">
        <v>64</v>
      </c>
      <c r="C31" s="2" t="s">
        <v>126</v>
      </c>
      <c r="D31" s="2" t="s">
        <v>127</v>
      </c>
      <c r="E31" s="2" t="s">
        <v>119</v>
      </c>
      <c r="F31" s="2" t="n">
        <v>20</v>
      </c>
      <c r="G31" s="2" t="n">
        <v>40</v>
      </c>
      <c r="H31" s="2" t="n">
        <f aca="false">ROUND(F31/G31*100,0)</f>
        <v>50</v>
      </c>
      <c r="I31" s="2" t="str">
        <f aca="false">IF(H31&gt;=workload_config!$B$2,"Overloaded",IF(H31&lt;workload_config!$B$3,"Underutilized","Optimal"))</f>
        <v>Optimal</v>
      </c>
      <c r="J31" s="2" t="n">
        <v>2</v>
      </c>
      <c r="K31" s="2" t="n">
        <v>20</v>
      </c>
      <c r="L31" s="2" t="n">
        <v>0</v>
      </c>
      <c r="M31" s="2" t="n">
        <v>0</v>
      </c>
    </row>
    <row r="32" customFormat="false" ht="15" hidden="false" customHeight="false" outlineLevel="0" collapsed="false">
      <c r="A32" s="2" t="s">
        <v>63</v>
      </c>
      <c r="B32" s="2" t="s">
        <v>64</v>
      </c>
      <c r="C32" s="2" t="s">
        <v>128</v>
      </c>
      <c r="D32" s="2" t="s">
        <v>129</v>
      </c>
      <c r="E32" s="2" t="s">
        <v>119</v>
      </c>
      <c r="F32" s="2" t="n">
        <v>0</v>
      </c>
      <c r="G32" s="2" t="n">
        <v>40</v>
      </c>
      <c r="H32" s="2" t="n">
        <f aca="false">ROUND(F32/G32*100,0)</f>
        <v>0</v>
      </c>
      <c r="I32" s="2" t="str">
        <f aca="false">IF(H32&gt;=workload_config!$B$2,"Overloaded",IF(H32&lt;workload_config!$B$3,"Underutilized","Optimal"))</f>
        <v>Underutilized</v>
      </c>
      <c r="J32" s="2" t="n">
        <v>0</v>
      </c>
      <c r="K32" s="2" t="n">
        <v>0</v>
      </c>
      <c r="L32" s="2" t="n">
        <v>0</v>
      </c>
      <c r="M32" s="2" t="n">
        <v>0</v>
      </c>
    </row>
    <row r="33" customFormat="false" ht="15" hidden="false" customHeight="false" outlineLevel="0" collapsed="false">
      <c r="A33" s="2" t="s">
        <v>63</v>
      </c>
      <c r="B33" s="2" t="s">
        <v>64</v>
      </c>
      <c r="C33" s="2" t="s">
        <v>130</v>
      </c>
      <c r="D33" s="2" t="s">
        <v>131</v>
      </c>
      <c r="E33" s="2" t="s">
        <v>119</v>
      </c>
      <c r="F33" s="2" t="n">
        <v>0</v>
      </c>
      <c r="G33" s="2" t="n">
        <v>40</v>
      </c>
      <c r="H33" s="2" t="n">
        <f aca="false">ROUND(F33/G33*100,0)</f>
        <v>0</v>
      </c>
      <c r="I33" s="2" t="str">
        <f aca="false">IF(H33&gt;=workload_config!$B$2,"Overloaded",IF(H33&lt;workload_config!$B$3,"Underutilized","Optimal"))</f>
        <v>Underutilized</v>
      </c>
      <c r="J33" s="2" t="n">
        <v>0</v>
      </c>
      <c r="K33" s="2" t="n">
        <v>0</v>
      </c>
      <c r="L33" s="2" t="n">
        <v>0</v>
      </c>
      <c r="M33" s="2" t="n">
        <v>0</v>
      </c>
    </row>
    <row r="34" customFormat="false" ht="15" hidden="false" customHeight="false" outlineLevel="0" collapsed="false">
      <c r="A34" s="2" t="s">
        <v>63</v>
      </c>
      <c r="B34" s="2" t="s">
        <v>64</v>
      </c>
      <c r="C34" s="2" t="s">
        <v>132</v>
      </c>
      <c r="D34" s="2" t="s">
        <v>133</v>
      </c>
      <c r="E34" s="2" t="s">
        <v>119</v>
      </c>
      <c r="F34" s="2" t="n">
        <v>0</v>
      </c>
      <c r="G34" s="2" t="n">
        <v>40</v>
      </c>
      <c r="H34" s="2" t="n">
        <f aca="false">ROUND(F34/G34*100,0)</f>
        <v>0</v>
      </c>
      <c r="I34" s="2" t="str">
        <f aca="false">IF(H34&gt;=workload_config!$B$2,"Overloaded",IF(H34&lt;workload_config!$B$3,"Underutilized","Optimal"))</f>
        <v>Underutilized</v>
      </c>
      <c r="J34" s="2" t="n">
        <v>0</v>
      </c>
      <c r="K34" s="2" t="n">
        <v>0</v>
      </c>
      <c r="L34" s="2" t="n">
        <v>0</v>
      </c>
      <c r="M34" s="2" t="n">
        <v>0</v>
      </c>
    </row>
    <row r="35" customFormat="false" ht="15" hidden="false" customHeight="false" outlineLevel="0" collapsed="false">
      <c r="A35" s="2" t="s">
        <v>63</v>
      </c>
      <c r="B35" s="2" t="s">
        <v>64</v>
      </c>
      <c r="C35" s="2" t="s">
        <v>134</v>
      </c>
      <c r="D35" s="2" t="s">
        <v>135</v>
      </c>
      <c r="E35" s="2" t="s">
        <v>119</v>
      </c>
      <c r="F35" s="2" t="n">
        <v>0</v>
      </c>
      <c r="G35" s="2" t="n">
        <v>40</v>
      </c>
      <c r="H35" s="2" t="n">
        <f aca="false">ROUND(F35/G35*100,0)</f>
        <v>0</v>
      </c>
      <c r="I35" s="2" t="str">
        <f aca="false">IF(H35&gt;=workload_config!$B$2,"Overloaded",IF(H35&lt;workload_config!$B$3,"Underutilized","Optimal"))</f>
        <v>Underutilized</v>
      </c>
      <c r="J35" s="2" t="n">
        <v>0</v>
      </c>
      <c r="K35" s="2" t="n">
        <v>0</v>
      </c>
      <c r="L35" s="2" t="n">
        <v>0</v>
      </c>
      <c r="M35" s="2" t="n">
        <v>0</v>
      </c>
    </row>
    <row r="36" customFormat="false" ht="15" hidden="false" customHeight="false" outlineLevel="0" collapsed="false">
      <c r="A36" s="2" t="s">
        <v>63</v>
      </c>
      <c r="B36" s="2" t="s">
        <v>64</v>
      </c>
      <c r="C36" s="2" t="s">
        <v>136</v>
      </c>
      <c r="D36" s="2" t="s">
        <v>137</v>
      </c>
      <c r="E36" s="2" t="s">
        <v>119</v>
      </c>
      <c r="F36" s="2" t="n">
        <v>25</v>
      </c>
      <c r="G36" s="2" t="n">
        <v>40</v>
      </c>
      <c r="H36" s="2" t="n">
        <f aca="false">ROUND(F36/G36*100,0)</f>
        <v>63</v>
      </c>
      <c r="I36" s="2" t="str">
        <f aca="false">IF(H36&gt;=workload_config!$B$2,"Overloaded",IF(H36&lt;workload_config!$B$3,"Underutilized","Optimal"))</f>
        <v>Optimal</v>
      </c>
      <c r="J36" s="2" t="n">
        <v>2</v>
      </c>
      <c r="K36" s="2" t="n">
        <v>25</v>
      </c>
      <c r="L36" s="2" t="n">
        <v>0</v>
      </c>
      <c r="M36" s="2" t="n">
        <v>0</v>
      </c>
    </row>
    <row r="37" customFormat="false" ht="15" hidden="false" customHeight="false" outlineLevel="0" collapsed="false">
      <c r="A37" s="2" t="s">
        <v>63</v>
      </c>
      <c r="B37" s="2" t="s">
        <v>64</v>
      </c>
      <c r="C37" s="2" t="s">
        <v>138</v>
      </c>
      <c r="D37" s="2" t="s">
        <v>139</v>
      </c>
      <c r="E37" s="2" t="s">
        <v>119</v>
      </c>
      <c r="F37" s="2" t="n">
        <v>0</v>
      </c>
      <c r="G37" s="2" t="n">
        <v>40</v>
      </c>
      <c r="H37" s="2" t="n">
        <f aca="false">ROUND(F37/G37*100,0)</f>
        <v>0</v>
      </c>
      <c r="I37" s="2" t="str">
        <f aca="false">IF(H37&gt;=workload_config!$B$2,"Overloaded",IF(H37&lt;workload_config!$B$3,"Underutilized","Optimal"))</f>
        <v>Underutilized</v>
      </c>
      <c r="J37" s="2" t="n">
        <v>0</v>
      </c>
      <c r="K37" s="2" t="n">
        <v>0</v>
      </c>
      <c r="L37" s="2" t="n">
        <v>0</v>
      </c>
      <c r="M37" s="2" t="n">
        <v>0</v>
      </c>
    </row>
    <row r="38" customFormat="false" ht="15" hidden="false" customHeight="false" outlineLevel="0" collapsed="false">
      <c r="A38" s="2" t="s">
        <v>63</v>
      </c>
      <c r="B38" s="2" t="s">
        <v>64</v>
      </c>
      <c r="C38" s="2" t="s">
        <v>140</v>
      </c>
      <c r="D38" s="2" t="s">
        <v>141</v>
      </c>
      <c r="E38" s="2" t="s">
        <v>119</v>
      </c>
      <c r="F38" s="2" t="n">
        <v>13</v>
      </c>
      <c r="G38" s="2" t="n">
        <v>40</v>
      </c>
      <c r="H38" s="2" t="n">
        <f aca="false">ROUND(F38/G38*100,0)</f>
        <v>33</v>
      </c>
      <c r="I38" s="2" t="str">
        <f aca="false">IF(H38&gt;=workload_config!$B$2,"Overloaded",IF(H38&lt;workload_config!$B$3,"Underutilized","Optimal"))</f>
        <v>Underutilized</v>
      </c>
      <c r="J38" s="2" t="n">
        <v>1</v>
      </c>
      <c r="K38" s="2" t="n">
        <v>13</v>
      </c>
      <c r="L38" s="2" t="n">
        <v>0</v>
      </c>
      <c r="M38" s="2" t="n">
        <v>0</v>
      </c>
    </row>
    <row r="39" customFormat="false" ht="15" hidden="false" customHeight="false" outlineLevel="0" collapsed="false">
      <c r="A39" s="2" t="s">
        <v>63</v>
      </c>
      <c r="B39" s="2" t="s">
        <v>64</v>
      </c>
      <c r="C39" s="2" t="s">
        <v>142</v>
      </c>
      <c r="D39" s="2" t="s">
        <v>143</v>
      </c>
      <c r="E39" s="2" t="s">
        <v>119</v>
      </c>
      <c r="F39" s="2" t="n">
        <v>11</v>
      </c>
      <c r="G39" s="2" t="n">
        <v>40</v>
      </c>
      <c r="H39" s="2" t="n">
        <f aca="false">ROUND(F39/G39*100,0)</f>
        <v>28</v>
      </c>
      <c r="I39" s="2" t="str">
        <f aca="false">IF(H39&gt;=workload_config!$B$2,"Overloaded",IF(H39&lt;workload_config!$B$3,"Underutilized","Optimal"))</f>
        <v>Underutilized</v>
      </c>
      <c r="J39" s="2" t="n">
        <v>1</v>
      </c>
      <c r="K39" s="2" t="n">
        <v>0</v>
      </c>
      <c r="L39" s="2" t="n">
        <v>11</v>
      </c>
      <c r="M39" s="2" t="n">
        <v>0</v>
      </c>
    </row>
    <row r="40" customFormat="false" ht="15" hidden="false" customHeight="false" outlineLevel="0" collapsed="false">
      <c r="A40" s="2" t="s">
        <v>63</v>
      </c>
      <c r="B40" s="2" t="s">
        <v>64</v>
      </c>
      <c r="C40" s="2" t="s">
        <v>144</v>
      </c>
      <c r="D40" s="2" t="s">
        <v>145</v>
      </c>
      <c r="E40" s="2" t="s">
        <v>146</v>
      </c>
      <c r="F40" s="2" t="n">
        <v>0</v>
      </c>
      <c r="G40" s="2" t="n">
        <v>40</v>
      </c>
      <c r="H40" s="2" t="n">
        <f aca="false">ROUND(F40/G40*100,0)</f>
        <v>0</v>
      </c>
      <c r="I40" s="2" t="str">
        <f aca="false">IF(H40&gt;=workload_config!$B$2,"Overloaded",IF(H40&lt;workload_config!$B$3,"Underutilized","Optimal"))</f>
        <v>Underutilized</v>
      </c>
      <c r="J40" s="2" t="n">
        <v>0</v>
      </c>
      <c r="K40" s="2" t="n">
        <v>0</v>
      </c>
      <c r="L40" s="2" t="n">
        <v>0</v>
      </c>
      <c r="M40" s="2" t="n">
        <v>0</v>
      </c>
    </row>
    <row r="41" customFormat="false" ht="15" hidden="false" customHeight="false" outlineLevel="0" collapsed="false">
      <c r="A41" s="2" t="s">
        <v>63</v>
      </c>
      <c r="B41" s="2" t="s">
        <v>64</v>
      </c>
      <c r="C41" s="2" t="s">
        <v>147</v>
      </c>
      <c r="D41" s="2" t="s">
        <v>148</v>
      </c>
      <c r="E41" s="2" t="s">
        <v>146</v>
      </c>
      <c r="F41" s="2" t="n">
        <v>0</v>
      </c>
      <c r="G41" s="2" t="n">
        <v>40</v>
      </c>
      <c r="H41" s="2" t="n">
        <f aca="false">ROUND(F41/G41*100,0)</f>
        <v>0</v>
      </c>
      <c r="I41" s="2" t="str">
        <f aca="false">IF(H41&gt;=workload_config!$B$2,"Overloaded",IF(H41&lt;workload_config!$B$3,"Underutilized","Optimal"))</f>
        <v>Underutilized</v>
      </c>
      <c r="J41" s="2" t="n">
        <v>0</v>
      </c>
      <c r="K41" s="2" t="n">
        <v>0</v>
      </c>
      <c r="L41" s="2" t="n">
        <v>0</v>
      </c>
      <c r="M41" s="2" t="n">
        <v>0</v>
      </c>
    </row>
    <row r="42" customFormat="false" ht="15" hidden="false" customHeight="false" outlineLevel="0" collapsed="false">
      <c r="A42" s="2" t="s">
        <v>63</v>
      </c>
      <c r="B42" s="2" t="s">
        <v>64</v>
      </c>
      <c r="C42" s="2" t="s">
        <v>149</v>
      </c>
      <c r="D42" s="2" t="s">
        <v>150</v>
      </c>
      <c r="E42" s="2" t="s">
        <v>146</v>
      </c>
      <c r="F42" s="2" t="n">
        <v>20</v>
      </c>
      <c r="G42" s="2" t="n">
        <v>40</v>
      </c>
      <c r="H42" s="2" t="n">
        <f aca="false">ROUND(F42/G42*100,0)</f>
        <v>50</v>
      </c>
      <c r="I42" s="2" t="str">
        <f aca="false">IF(H42&gt;=workload_config!$B$2,"Overloaded",IF(H42&lt;workload_config!$B$3,"Underutilized","Optimal"))</f>
        <v>Optimal</v>
      </c>
      <c r="J42" s="2" t="n">
        <v>2</v>
      </c>
      <c r="K42" s="2" t="n">
        <v>20</v>
      </c>
      <c r="L42" s="2" t="n">
        <v>0</v>
      </c>
      <c r="M42" s="2" t="n">
        <v>0</v>
      </c>
    </row>
    <row r="43" customFormat="false" ht="15" hidden="false" customHeight="false" outlineLevel="0" collapsed="false">
      <c r="A43" s="2" t="s">
        <v>63</v>
      </c>
      <c r="B43" s="2" t="s">
        <v>64</v>
      </c>
      <c r="C43" s="2" t="s">
        <v>151</v>
      </c>
      <c r="D43" s="2" t="s">
        <v>152</v>
      </c>
      <c r="E43" s="2" t="s">
        <v>146</v>
      </c>
      <c r="F43" s="2" t="n">
        <v>11</v>
      </c>
      <c r="G43" s="2" t="n">
        <v>40</v>
      </c>
      <c r="H43" s="2" t="n">
        <f aca="false">ROUND(F43/G43*100,0)</f>
        <v>28</v>
      </c>
      <c r="I43" s="2" t="str">
        <f aca="false">IF(H43&gt;=workload_config!$B$2,"Overloaded",IF(H43&lt;workload_config!$B$3,"Underutilized","Optimal"))</f>
        <v>Underutilized</v>
      </c>
      <c r="J43" s="2" t="n">
        <v>1</v>
      </c>
      <c r="K43" s="2" t="n">
        <v>11</v>
      </c>
      <c r="L43" s="2" t="n">
        <v>0</v>
      </c>
      <c r="M43" s="2" t="n">
        <v>0</v>
      </c>
    </row>
    <row r="44" customFormat="false" ht="15" hidden="false" customHeight="false" outlineLevel="0" collapsed="false">
      <c r="A44" s="2" t="s">
        <v>63</v>
      </c>
      <c r="B44" s="2" t="s">
        <v>64</v>
      </c>
      <c r="C44" s="2" t="s">
        <v>153</v>
      </c>
      <c r="D44" s="2" t="s">
        <v>154</v>
      </c>
      <c r="E44" s="2" t="s">
        <v>146</v>
      </c>
      <c r="F44" s="2" t="n">
        <v>13</v>
      </c>
      <c r="G44" s="2" t="n">
        <v>40</v>
      </c>
      <c r="H44" s="2" t="n">
        <f aca="false">ROUND(F44/G44*100,0)</f>
        <v>33</v>
      </c>
      <c r="I44" s="2" t="str">
        <f aca="false">IF(H44&gt;=workload_config!$B$2,"Overloaded",IF(H44&lt;workload_config!$B$3,"Underutilized","Optimal"))</f>
        <v>Underutilized</v>
      </c>
      <c r="J44" s="2" t="n">
        <v>1</v>
      </c>
      <c r="K44" s="2" t="n">
        <v>13</v>
      </c>
      <c r="L44" s="2" t="n">
        <v>0</v>
      </c>
      <c r="M44" s="2" t="n">
        <v>0</v>
      </c>
    </row>
    <row r="45" customFormat="false" ht="15" hidden="false" customHeight="false" outlineLevel="0" collapsed="false">
      <c r="A45" s="2" t="s">
        <v>63</v>
      </c>
      <c r="B45" s="2" t="s">
        <v>64</v>
      </c>
      <c r="C45" s="2" t="s">
        <v>155</v>
      </c>
      <c r="D45" s="2" t="s">
        <v>156</v>
      </c>
      <c r="E45" s="2" t="s">
        <v>146</v>
      </c>
      <c r="F45" s="2" t="n">
        <v>10</v>
      </c>
      <c r="G45" s="2" t="n">
        <v>40</v>
      </c>
      <c r="H45" s="2" t="n">
        <f aca="false">ROUND(F45/G45*100,0)</f>
        <v>25</v>
      </c>
      <c r="I45" s="2" t="str">
        <f aca="false">IF(H45&gt;=workload_config!$B$2,"Overloaded",IF(H45&lt;workload_config!$B$3,"Underutilized","Optimal"))</f>
        <v>Underutilized</v>
      </c>
      <c r="J45" s="2" t="n">
        <v>1</v>
      </c>
      <c r="K45" s="2" t="n">
        <v>10</v>
      </c>
      <c r="L45" s="2" t="n">
        <v>0</v>
      </c>
      <c r="M45" s="2" t="n">
        <v>0</v>
      </c>
    </row>
    <row r="46" customFormat="false" ht="15" hidden="false" customHeight="false" outlineLevel="0" collapsed="false">
      <c r="A46" s="2" t="s">
        <v>63</v>
      </c>
      <c r="B46" s="2" t="s">
        <v>64</v>
      </c>
      <c r="C46" s="2" t="s">
        <v>157</v>
      </c>
      <c r="D46" s="2" t="s">
        <v>158</v>
      </c>
      <c r="E46" s="2" t="s">
        <v>146</v>
      </c>
      <c r="F46" s="2" t="n">
        <v>0</v>
      </c>
      <c r="G46" s="2" t="n">
        <v>40</v>
      </c>
      <c r="H46" s="2" t="n">
        <f aca="false">ROUND(F46/G46*100,0)</f>
        <v>0</v>
      </c>
      <c r="I46" s="2" t="str">
        <f aca="false">IF(H46&gt;=workload_config!$B$2,"Overloaded",IF(H46&lt;workload_config!$B$3,"Underutilized","Optimal"))</f>
        <v>Underutilized</v>
      </c>
      <c r="J46" s="2" t="n">
        <v>0</v>
      </c>
      <c r="K46" s="2" t="n">
        <v>0</v>
      </c>
      <c r="L46" s="2" t="n">
        <v>0</v>
      </c>
      <c r="M46" s="2" t="n">
        <v>0</v>
      </c>
    </row>
    <row r="47" customFormat="false" ht="15" hidden="false" customHeight="false" outlineLevel="0" collapsed="false">
      <c r="A47" s="2" t="s">
        <v>63</v>
      </c>
      <c r="B47" s="2" t="s">
        <v>64</v>
      </c>
      <c r="C47" s="2" t="s">
        <v>159</v>
      </c>
      <c r="D47" s="2" t="s">
        <v>160</v>
      </c>
      <c r="E47" s="2" t="s">
        <v>146</v>
      </c>
      <c r="F47" s="2" t="n">
        <v>11</v>
      </c>
      <c r="G47" s="2" t="n">
        <v>40</v>
      </c>
      <c r="H47" s="2" t="n">
        <f aca="false">ROUND(F47/G47*100,0)</f>
        <v>28</v>
      </c>
      <c r="I47" s="2" t="str">
        <f aca="false">IF(H47&gt;=workload_config!$B$2,"Overloaded",IF(H47&lt;workload_config!$B$3,"Underutilized","Optimal"))</f>
        <v>Underutilized</v>
      </c>
      <c r="J47" s="2" t="n">
        <v>1</v>
      </c>
      <c r="K47" s="2" t="n">
        <v>11</v>
      </c>
      <c r="L47" s="2" t="n">
        <v>0</v>
      </c>
      <c r="M47" s="2" t="n">
        <v>0</v>
      </c>
    </row>
    <row r="48" customFormat="false" ht="15" hidden="false" customHeight="false" outlineLevel="0" collapsed="false">
      <c r="A48" s="2" t="s">
        <v>63</v>
      </c>
      <c r="B48" s="2" t="s">
        <v>64</v>
      </c>
      <c r="C48" s="2" t="s">
        <v>161</v>
      </c>
      <c r="D48" s="2" t="s">
        <v>162</v>
      </c>
      <c r="E48" s="2" t="s">
        <v>146</v>
      </c>
      <c r="F48" s="2" t="n">
        <v>14</v>
      </c>
      <c r="G48" s="2" t="n">
        <v>40</v>
      </c>
      <c r="H48" s="2" t="n">
        <f aca="false">ROUND(F48/G48*100,0)</f>
        <v>35</v>
      </c>
      <c r="I48" s="2" t="str">
        <f aca="false">IF(H48&gt;=workload_config!$B$2,"Overloaded",IF(H48&lt;workload_config!$B$3,"Underutilized","Optimal"))</f>
        <v>Underutilized</v>
      </c>
      <c r="J48" s="2" t="n">
        <v>1</v>
      </c>
      <c r="K48" s="2" t="n">
        <v>14</v>
      </c>
      <c r="L48" s="2" t="n">
        <v>0</v>
      </c>
      <c r="M48" s="2" t="n">
        <v>0</v>
      </c>
    </row>
    <row r="49" customFormat="false" ht="15" hidden="false" customHeight="false" outlineLevel="0" collapsed="false">
      <c r="A49" s="2" t="s">
        <v>63</v>
      </c>
      <c r="B49" s="2" t="s">
        <v>64</v>
      </c>
      <c r="C49" s="2" t="s">
        <v>163</v>
      </c>
      <c r="D49" s="2" t="s">
        <v>164</v>
      </c>
      <c r="E49" s="2" t="s">
        <v>146</v>
      </c>
      <c r="F49" s="2" t="n">
        <v>10</v>
      </c>
      <c r="G49" s="2" t="n">
        <v>40</v>
      </c>
      <c r="H49" s="2" t="n">
        <f aca="false">ROUND(F49/G49*100,0)</f>
        <v>25</v>
      </c>
      <c r="I49" s="2" t="str">
        <f aca="false">IF(H49&gt;=workload_config!$B$2,"Overloaded",IF(H49&lt;workload_config!$B$3,"Underutilized","Optimal"))</f>
        <v>Underutilized</v>
      </c>
      <c r="J49" s="2" t="n">
        <v>1</v>
      </c>
      <c r="K49" s="2" t="n">
        <v>10</v>
      </c>
      <c r="L49" s="2" t="n">
        <v>0</v>
      </c>
      <c r="M49" s="2" t="n">
        <v>0</v>
      </c>
    </row>
    <row r="50" customFormat="false" ht="15" hidden="false" customHeight="false" outlineLevel="0" collapsed="false">
      <c r="A50" s="2" t="s">
        <v>63</v>
      </c>
      <c r="B50" s="2" t="s">
        <v>64</v>
      </c>
      <c r="C50" s="2" t="s">
        <v>165</v>
      </c>
      <c r="D50" s="2" t="s">
        <v>166</v>
      </c>
      <c r="E50" s="2" t="s">
        <v>146</v>
      </c>
      <c r="F50" s="2" t="n">
        <v>10</v>
      </c>
      <c r="G50" s="2" t="n">
        <v>40</v>
      </c>
      <c r="H50" s="2" t="n">
        <f aca="false">ROUND(F50/G50*100,0)</f>
        <v>25</v>
      </c>
      <c r="I50" s="2" t="str">
        <f aca="false">IF(H50&gt;=workload_config!$B$2,"Overloaded",IF(H50&lt;workload_config!$B$3,"Underutilized","Optimal"))</f>
        <v>Underutilized</v>
      </c>
      <c r="J50" s="2" t="n">
        <v>1</v>
      </c>
      <c r="K50" s="2" t="n">
        <v>10</v>
      </c>
      <c r="L50" s="2" t="n">
        <v>0</v>
      </c>
      <c r="M50" s="2" t="n">
        <v>0</v>
      </c>
    </row>
    <row r="51" customFormat="false" ht="15" hidden="false" customHeight="false" outlineLevel="0" collapsed="false">
      <c r="A51" s="2" t="s">
        <v>63</v>
      </c>
      <c r="B51" s="2" t="s">
        <v>64</v>
      </c>
      <c r="C51" s="2" t="s">
        <v>167</v>
      </c>
      <c r="D51" s="2" t="s">
        <v>168</v>
      </c>
      <c r="E51" s="2" t="s">
        <v>169</v>
      </c>
      <c r="F51" s="2" t="n">
        <v>17</v>
      </c>
      <c r="G51" s="2" t="n">
        <v>40</v>
      </c>
      <c r="H51" s="2" t="n">
        <f aca="false">ROUND(F51/G51*100,0)</f>
        <v>43</v>
      </c>
      <c r="I51" s="2" t="str">
        <f aca="false">IF(H51&gt;=workload_config!$B$2,"Overloaded",IF(H51&lt;workload_config!$B$3,"Underutilized","Optimal"))</f>
        <v>Underutilized</v>
      </c>
      <c r="J51" s="2" t="n">
        <v>2</v>
      </c>
      <c r="K51" s="2" t="n">
        <v>8</v>
      </c>
      <c r="L51" s="2" t="n">
        <v>9</v>
      </c>
      <c r="M51" s="2" t="n">
        <v>0</v>
      </c>
    </row>
    <row r="52" customFormat="false" ht="15" hidden="false" customHeight="false" outlineLevel="0" collapsed="false">
      <c r="A52" s="2" t="s">
        <v>63</v>
      </c>
      <c r="B52" s="2" t="s">
        <v>64</v>
      </c>
      <c r="C52" s="2" t="s">
        <v>170</v>
      </c>
      <c r="D52" s="2" t="s">
        <v>171</v>
      </c>
      <c r="E52" s="2" t="s">
        <v>169</v>
      </c>
      <c r="F52" s="2" t="n">
        <v>18</v>
      </c>
      <c r="G52" s="2" t="n">
        <v>40</v>
      </c>
      <c r="H52" s="2" t="n">
        <f aca="false">ROUND(F52/G52*100,0)</f>
        <v>45</v>
      </c>
      <c r="I52" s="2" t="str">
        <f aca="false">IF(H52&gt;=workload_config!$B$2,"Overloaded",IF(H52&lt;workload_config!$B$3,"Underutilized","Optimal"))</f>
        <v>Underutilized</v>
      </c>
      <c r="J52" s="2" t="n">
        <v>2</v>
      </c>
      <c r="K52" s="2" t="n">
        <v>18</v>
      </c>
      <c r="L52" s="2" t="n">
        <v>0</v>
      </c>
      <c r="M52" s="2" t="n">
        <v>0</v>
      </c>
    </row>
    <row r="53" customFormat="false" ht="15" hidden="false" customHeight="false" outlineLevel="0" collapsed="false">
      <c r="A53" s="2" t="s">
        <v>63</v>
      </c>
      <c r="B53" s="2" t="s">
        <v>64</v>
      </c>
      <c r="C53" s="2" t="s">
        <v>172</v>
      </c>
      <c r="D53" s="2" t="s">
        <v>173</v>
      </c>
      <c r="E53" s="2" t="s">
        <v>169</v>
      </c>
      <c r="F53" s="2" t="n">
        <v>9</v>
      </c>
      <c r="G53" s="2" t="n">
        <v>40</v>
      </c>
      <c r="H53" s="2" t="n">
        <f aca="false">ROUND(F53/G53*100,0)</f>
        <v>23</v>
      </c>
      <c r="I53" s="2" t="str">
        <f aca="false">IF(H53&gt;=workload_config!$B$2,"Overloaded",IF(H53&lt;workload_config!$B$3,"Underutilized","Optimal"))</f>
        <v>Underutilized</v>
      </c>
      <c r="J53" s="2" t="n">
        <v>1</v>
      </c>
      <c r="K53" s="2" t="n">
        <v>9</v>
      </c>
      <c r="L53" s="2" t="n">
        <v>0</v>
      </c>
      <c r="M53" s="2" t="n">
        <v>0</v>
      </c>
    </row>
    <row r="54" customFormat="false" ht="15" hidden="false" customHeight="false" outlineLevel="0" collapsed="false">
      <c r="A54" s="2" t="s">
        <v>63</v>
      </c>
      <c r="B54" s="2" t="s">
        <v>64</v>
      </c>
      <c r="C54" s="2" t="s">
        <v>174</v>
      </c>
      <c r="D54" s="2" t="s">
        <v>175</v>
      </c>
      <c r="E54" s="2" t="s">
        <v>169</v>
      </c>
      <c r="F54" s="2" t="n">
        <v>0</v>
      </c>
      <c r="G54" s="2" t="n">
        <v>40</v>
      </c>
      <c r="H54" s="2" t="n">
        <f aca="false">ROUND(F54/G54*100,0)</f>
        <v>0</v>
      </c>
      <c r="I54" s="2" t="str">
        <f aca="false">IF(H54&gt;=workload_config!$B$2,"Overloaded",IF(H54&lt;workload_config!$B$3,"Underutilized","Optimal"))</f>
        <v>Underutilized</v>
      </c>
      <c r="J54" s="2" t="n">
        <v>0</v>
      </c>
      <c r="K54" s="2" t="n">
        <v>0</v>
      </c>
      <c r="L54" s="2" t="n">
        <v>0</v>
      </c>
      <c r="M54" s="2" t="n">
        <v>0</v>
      </c>
    </row>
    <row r="55" customFormat="false" ht="15" hidden="false" customHeight="false" outlineLevel="0" collapsed="false">
      <c r="A55" s="2" t="s">
        <v>63</v>
      </c>
      <c r="B55" s="2" t="s">
        <v>64</v>
      </c>
      <c r="C55" s="2" t="s">
        <v>176</v>
      </c>
      <c r="D55" s="2" t="s">
        <v>177</v>
      </c>
      <c r="E55" s="2" t="s">
        <v>169</v>
      </c>
      <c r="F55" s="2" t="n">
        <v>0</v>
      </c>
      <c r="G55" s="2" t="n">
        <v>40</v>
      </c>
      <c r="H55" s="2" t="n">
        <f aca="false">ROUND(F55/G55*100,0)</f>
        <v>0</v>
      </c>
      <c r="I55" s="2" t="str">
        <f aca="false">IF(H55&gt;=workload_config!$B$2,"Overloaded",IF(H55&lt;workload_config!$B$3,"Underutilized","Optimal"))</f>
        <v>Underutilized</v>
      </c>
      <c r="J55" s="2" t="n">
        <v>0</v>
      </c>
      <c r="K55" s="2" t="n">
        <v>0</v>
      </c>
      <c r="L55" s="2" t="n">
        <v>0</v>
      </c>
      <c r="M55" s="2" t="n">
        <v>0</v>
      </c>
    </row>
    <row r="56" customFormat="false" ht="15" hidden="false" customHeight="false" outlineLevel="0" collapsed="false">
      <c r="A56" s="2" t="s">
        <v>63</v>
      </c>
      <c r="B56" s="2" t="s">
        <v>64</v>
      </c>
      <c r="C56" s="2" t="s">
        <v>178</v>
      </c>
      <c r="D56" s="2" t="s">
        <v>179</v>
      </c>
      <c r="E56" s="2" t="s">
        <v>169</v>
      </c>
      <c r="F56" s="2" t="n">
        <v>0</v>
      </c>
      <c r="G56" s="2" t="n">
        <v>40</v>
      </c>
      <c r="H56" s="2" t="n">
        <f aca="false">ROUND(F56/G56*100,0)</f>
        <v>0</v>
      </c>
      <c r="I56" s="2" t="str">
        <f aca="false">IF(H56&gt;=workload_config!$B$2,"Overloaded",IF(H56&lt;workload_config!$B$3,"Underutilized","Optimal"))</f>
        <v>Underutilized</v>
      </c>
      <c r="J56" s="2" t="n">
        <v>0</v>
      </c>
      <c r="K56" s="2" t="n">
        <v>0</v>
      </c>
      <c r="L56" s="2" t="n">
        <v>0</v>
      </c>
      <c r="M56" s="2" t="n">
        <v>0</v>
      </c>
    </row>
    <row r="57" customFormat="false" ht="15" hidden="false" customHeight="false" outlineLevel="0" collapsed="false">
      <c r="A57" s="2" t="s">
        <v>63</v>
      </c>
      <c r="B57" s="2" t="s">
        <v>64</v>
      </c>
      <c r="C57" s="2" t="s">
        <v>180</v>
      </c>
      <c r="D57" s="2" t="s">
        <v>181</v>
      </c>
      <c r="E57" s="2" t="s">
        <v>169</v>
      </c>
      <c r="F57" s="2" t="n">
        <v>0</v>
      </c>
      <c r="G57" s="2" t="n">
        <v>32</v>
      </c>
      <c r="H57" s="2" t="n">
        <f aca="false">ROUND(F57/G57*100,0)</f>
        <v>0</v>
      </c>
      <c r="I57" s="2" t="str">
        <f aca="false">IF(H57&gt;=workload_config!$B$2,"Overloaded",IF(H57&lt;workload_config!$B$3,"Underutilized","Optimal"))</f>
        <v>Underutilized</v>
      </c>
      <c r="J57" s="2" t="n">
        <v>0</v>
      </c>
      <c r="K57" s="2" t="n">
        <v>0</v>
      </c>
      <c r="L57" s="2" t="n">
        <v>0</v>
      </c>
      <c r="M57" s="2" t="n">
        <v>0</v>
      </c>
    </row>
    <row r="58" customFormat="false" ht="15" hidden="false" customHeight="false" outlineLevel="0" collapsed="false">
      <c r="A58" s="2" t="s">
        <v>63</v>
      </c>
      <c r="B58" s="2" t="s">
        <v>64</v>
      </c>
      <c r="C58" s="2" t="s">
        <v>182</v>
      </c>
      <c r="D58" s="2" t="s">
        <v>183</v>
      </c>
      <c r="E58" s="2" t="s">
        <v>169</v>
      </c>
      <c r="F58" s="2" t="n">
        <v>9</v>
      </c>
      <c r="G58" s="2" t="n">
        <v>20</v>
      </c>
      <c r="H58" s="2" t="n">
        <f aca="false">ROUND(F58/G58*100,0)</f>
        <v>45</v>
      </c>
      <c r="I58" s="2" t="str">
        <f aca="false">IF(H58&gt;=workload_config!$B$2,"Overloaded",IF(H58&lt;workload_config!$B$3,"Underutilized","Optimal"))</f>
        <v>Underutilized</v>
      </c>
      <c r="J58" s="2" t="n">
        <v>1</v>
      </c>
      <c r="K58" s="2" t="n">
        <v>9</v>
      </c>
      <c r="L58" s="2" t="n">
        <v>0</v>
      </c>
      <c r="M58" s="2" t="n">
        <v>0</v>
      </c>
    </row>
    <row r="59" customFormat="false" ht="15" hidden="false" customHeight="false" outlineLevel="0" collapsed="false">
      <c r="A59" s="2" t="s">
        <v>63</v>
      </c>
      <c r="B59" s="2" t="s">
        <v>64</v>
      </c>
      <c r="C59" s="2" t="s">
        <v>184</v>
      </c>
      <c r="D59" s="2" t="s">
        <v>185</v>
      </c>
      <c r="E59" s="2" t="s">
        <v>169</v>
      </c>
      <c r="F59" s="2" t="n">
        <v>25</v>
      </c>
      <c r="G59" s="2" t="n">
        <v>32</v>
      </c>
      <c r="H59" s="2" t="n">
        <f aca="false">ROUND(F59/G59*100,0)</f>
        <v>78</v>
      </c>
      <c r="I59" s="2" t="str">
        <f aca="false">IF(H59&gt;=workload_config!$B$2,"Overloaded",IF(H59&lt;workload_config!$B$3,"Underutilized","Optimal"))</f>
        <v>Optimal</v>
      </c>
      <c r="J59" s="2" t="n">
        <v>2</v>
      </c>
      <c r="K59" s="2" t="n">
        <v>25</v>
      </c>
      <c r="L59" s="2" t="n">
        <v>0</v>
      </c>
      <c r="M59" s="2" t="n">
        <v>0</v>
      </c>
    </row>
    <row r="60" customFormat="false" ht="15" hidden="false" customHeight="false" outlineLevel="0" collapsed="false">
      <c r="A60" s="2" t="s">
        <v>63</v>
      </c>
      <c r="B60" s="2" t="s">
        <v>64</v>
      </c>
      <c r="C60" s="2" t="s">
        <v>186</v>
      </c>
      <c r="D60" s="2" t="s">
        <v>187</v>
      </c>
      <c r="E60" s="2" t="s">
        <v>169</v>
      </c>
      <c r="F60" s="2" t="n">
        <v>9</v>
      </c>
      <c r="G60" s="2" t="n">
        <v>40</v>
      </c>
      <c r="H60" s="2" t="n">
        <f aca="false">ROUND(F60/G60*100,0)</f>
        <v>23</v>
      </c>
      <c r="I60" s="2" t="str">
        <f aca="false">IF(H60&gt;=workload_config!$B$2,"Overloaded",IF(H60&lt;workload_config!$B$3,"Underutilized","Optimal"))</f>
        <v>Underutilized</v>
      </c>
      <c r="J60" s="2" t="n">
        <v>1</v>
      </c>
      <c r="K60" s="2" t="n">
        <v>9</v>
      </c>
      <c r="L60" s="2" t="n">
        <v>0</v>
      </c>
      <c r="M60" s="2" t="n">
        <v>0</v>
      </c>
    </row>
    <row r="61" customFormat="false" ht="15" hidden="false" customHeight="false" outlineLevel="0" collapsed="false">
      <c r="A61" s="2" t="s">
        <v>63</v>
      </c>
      <c r="B61" s="2" t="s">
        <v>64</v>
      </c>
      <c r="C61" s="2" t="s">
        <v>188</v>
      </c>
      <c r="D61" s="2" t="s">
        <v>189</v>
      </c>
      <c r="E61" s="2" t="s">
        <v>169</v>
      </c>
      <c r="F61" s="2" t="n">
        <v>0</v>
      </c>
      <c r="G61" s="2" t="n">
        <v>40</v>
      </c>
      <c r="H61" s="2" t="n">
        <f aca="false">ROUND(F61/G61*100,0)</f>
        <v>0</v>
      </c>
      <c r="I61" s="2" t="str">
        <f aca="false">IF(H61&gt;=workload_config!$B$2,"Overloaded",IF(H61&lt;workload_config!$B$3,"Underutilized","Optimal"))</f>
        <v>Underutilized</v>
      </c>
      <c r="J61" s="2" t="n">
        <v>0</v>
      </c>
      <c r="K61" s="2" t="n">
        <v>0</v>
      </c>
      <c r="L61" s="2" t="n">
        <v>0</v>
      </c>
      <c r="M61" s="2" t="n">
        <v>0</v>
      </c>
    </row>
    <row r="62" customFormat="false" ht="15" hidden="false" customHeight="false" outlineLevel="0" collapsed="false">
      <c r="A62" s="2" t="s">
        <v>190</v>
      </c>
      <c r="B62" s="2" t="s">
        <v>64</v>
      </c>
      <c r="C62" s="2" t="s">
        <v>65</v>
      </c>
      <c r="D62" s="2" t="s">
        <v>66</v>
      </c>
      <c r="E62" s="2" t="s">
        <v>67</v>
      </c>
      <c r="F62" s="2" t="n">
        <v>20</v>
      </c>
      <c r="G62" s="2" t="n">
        <v>40</v>
      </c>
      <c r="H62" s="2" t="n">
        <f aca="false">ROUND(F62/G62*100,0)</f>
        <v>50</v>
      </c>
      <c r="I62" s="2" t="str">
        <f aca="false">IF(H62&gt;=workload_config!$B$2,"Overloaded",IF(H62&lt;workload_config!$B$3,"Underutilized","Optimal"))</f>
        <v>Optimal</v>
      </c>
      <c r="J62" s="2" t="n">
        <v>2</v>
      </c>
      <c r="K62" s="2" t="n">
        <v>0</v>
      </c>
      <c r="L62" s="2" t="n">
        <v>20</v>
      </c>
      <c r="M62" s="2" t="n">
        <v>0</v>
      </c>
    </row>
    <row r="63" customFormat="false" ht="15" hidden="false" customHeight="false" outlineLevel="0" collapsed="false">
      <c r="A63" s="2" t="s">
        <v>190</v>
      </c>
      <c r="B63" s="2" t="s">
        <v>64</v>
      </c>
      <c r="C63" s="2" t="s">
        <v>68</v>
      </c>
      <c r="D63" s="2" t="s">
        <v>69</v>
      </c>
      <c r="E63" s="2" t="s">
        <v>67</v>
      </c>
      <c r="F63" s="2" t="n">
        <v>7</v>
      </c>
      <c r="G63" s="2" t="n">
        <v>40</v>
      </c>
      <c r="H63" s="2" t="n">
        <f aca="false">ROUND(F63/G63*100,0)</f>
        <v>18</v>
      </c>
      <c r="I63" s="2" t="str">
        <f aca="false">IF(H63&gt;=workload_config!$B$2,"Overloaded",IF(H63&lt;workload_config!$B$3,"Underutilized","Optimal"))</f>
        <v>Underutilized</v>
      </c>
      <c r="J63" s="2" t="n">
        <v>1</v>
      </c>
      <c r="K63" s="2" t="n">
        <v>7</v>
      </c>
      <c r="L63" s="2" t="n">
        <v>0</v>
      </c>
      <c r="M63" s="2" t="n">
        <v>0</v>
      </c>
    </row>
    <row r="64" customFormat="false" ht="15" hidden="false" customHeight="false" outlineLevel="0" collapsed="false">
      <c r="A64" s="2" t="s">
        <v>190</v>
      </c>
      <c r="B64" s="2" t="s">
        <v>64</v>
      </c>
      <c r="C64" s="2" t="s">
        <v>70</v>
      </c>
      <c r="D64" s="2" t="s">
        <v>71</v>
      </c>
      <c r="E64" s="2" t="s">
        <v>67</v>
      </c>
      <c r="F64" s="2" t="n">
        <v>12</v>
      </c>
      <c r="G64" s="2" t="n">
        <v>40</v>
      </c>
      <c r="H64" s="2" t="n">
        <f aca="false">ROUND(F64/G64*100,0)</f>
        <v>30</v>
      </c>
      <c r="I64" s="2" t="str">
        <f aca="false">IF(H64&gt;=workload_config!$B$2,"Overloaded",IF(H64&lt;workload_config!$B$3,"Underutilized","Optimal"))</f>
        <v>Underutilized</v>
      </c>
      <c r="J64" s="2" t="n">
        <v>1</v>
      </c>
      <c r="K64" s="2" t="n">
        <v>12</v>
      </c>
      <c r="L64" s="2" t="n">
        <v>0</v>
      </c>
      <c r="M64" s="2" t="n">
        <v>0</v>
      </c>
    </row>
    <row r="65" customFormat="false" ht="15" hidden="false" customHeight="false" outlineLevel="0" collapsed="false">
      <c r="A65" s="2" t="s">
        <v>190</v>
      </c>
      <c r="B65" s="2" t="s">
        <v>64</v>
      </c>
      <c r="C65" s="2" t="s">
        <v>72</v>
      </c>
      <c r="D65" s="2" t="s">
        <v>73</v>
      </c>
      <c r="E65" s="2" t="s">
        <v>67</v>
      </c>
      <c r="F65" s="2" t="n">
        <v>15</v>
      </c>
      <c r="G65" s="2" t="n">
        <v>40</v>
      </c>
      <c r="H65" s="2" t="n">
        <f aca="false">ROUND(F65/G65*100,0)</f>
        <v>38</v>
      </c>
      <c r="I65" s="2" t="str">
        <f aca="false">IF(H65&gt;=workload_config!$B$2,"Overloaded",IF(H65&lt;workload_config!$B$3,"Underutilized","Optimal"))</f>
        <v>Underutilized</v>
      </c>
      <c r="J65" s="2" t="n">
        <v>2</v>
      </c>
      <c r="K65" s="2" t="n">
        <v>15</v>
      </c>
      <c r="L65" s="2" t="n">
        <v>0</v>
      </c>
      <c r="M65" s="2" t="n">
        <v>0</v>
      </c>
    </row>
    <row r="66" customFormat="false" ht="15" hidden="false" customHeight="false" outlineLevel="0" collapsed="false">
      <c r="A66" s="2" t="s">
        <v>190</v>
      </c>
      <c r="B66" s="2" t="s">
        <v>64</v>
      </c>
      <c r="C66" s="2" t="s">
        <v>74</v>
      </c>
      <c r="D66" s="2" t="s">
        <v>75</v>
      </c>
      <c r="E66" s="2" t="s">
        <v>67</v>
      </c>
      <c r="F66" s="2" t="n">
        <v>11</v>
      </c>
      <c r="G66" s="2" t="n">
        <v>40</v>
      </c>
      <c r="H66" s="2" t="n">
        <f aca="false">ROUND(F66/G66*100,0)</f>
        <v>28</v>
      </c>
      <c r="I66" s="2" t="str">
        <f aca="false">IF(H66&gt;=workload_config!$B$2,"Overloaded",IF(H66&lt;workload_config!$B$3,"Underutilized","Optimal"))</f>
        <v>Underutilized</v>
      </c>
      <c r="J66" s="2" t="n">
        <v>1</v>
      </c>
      <c r="K66" s="2" t="n">
        <v>11</v>
      </c>
      <c r="L66" s="2" t="n">
        <v>0</v>
      </c>
      <c r="M66" s="2" t="n">
        <v>0</v>
      </c>
    </row>
    <row r="67" customFormat="false" ht="15" hidden="false" customHeight="false" outlineLevel="0" collapsed="false">
      <c r="A67" s="2" t="s">
        <v>190</v>
      </c>
      <c r="B67" s="2" t="s">
        <v>64</v>
      </c>
      <c r="C67" s="2" t="s">
        <v>76</v>
      </c>
      <c r="D67" s="2" t="s">
        <v>77</v>
      </c>
      <c r="E67" s="2" t="s">
        <v>67</v>
      </c>
      <c r="F67" s="2" t="n">
        <v>20</v>
      </c>
      <c r="G67" s="2" t="n">
        <v>40</v>
      </c>
      <c r="H67" s="2" t="n">
        <f aca="false">ROUND(F67/G67*100,0)</f>
        <v>50</v>
      </c>
      <c r="I67" s="2" t="str">
        <f aca="false">IF(H67&gt;=workload_config!$B$2,"Overloaded",IF(H67&lt;workload_config!$B$3,"Underutilized","Optimal"))</f>
        <v>Optimal</v>
      </c>
      <c r="J67" s="2" t="n">
        <v>2</v>
      </c>
      <c r="K67" s="2" t="n">
        <v>20</v>
      </c>
      <c r="L67" s="2" t="n">
        <v>0</v>
      </c>
      <c r="M67" s="2" t="n">
        <v>0</v>
      </c>
    </row>
    <row r="68" customFormat="false" ht="15" hidden="false" customHeight="false" outlineLevel="0" collapsed="false">
      <c r="A68" s="2" t="s">
        <v>190</v>
      </c>
      <c r="B68" s="2" t="s">
        <v>64</v>
      </c>
      <c r="C68" s="2" t="s">
        <v>78</v>
      </c>
      <c r="D68" s="2" t="s">
        <v>79</v>
      </c>
      <c r="E68" s="2" t="s">
        <v>67</v>
      </c>
      <c r="F68" s="2" t="n">
        <v>20</v>
      </c>
      <c r="G68" s="2" t="n">
        <v>40</v>
      </c>
      <c r="H68" s="2" t="n">
        <f aca="false">ROUND(F68/G68*100,0)</f>
        <v>50</v>
      </c>
      <c r="I68" s="2" t="str">
        <f aca="false">IF(H68&gt;=workload_config!$B$2,"Overloaded",IF(H68&lt;workload_config!$B$3,"Underutilized","Optimal"))</f>
        <v>Optimal</v>
      </c>
      <c r="J68" s="2" t="n">
        <v>2</v>
      </c>
      <c r="K68" s="2" t="n">
        <v>20</v>
      </c>
      <c r="L68" s="2" t="n">
        <v>0</v>
      </c>
      <c r="M68" s="2" t="n">
        <v>0</v>
      </c>
    </row>
    <row r="69" customFormat="false" ht="15" hidden="false" customHeight="false" outlineLevel="0" collapsed="false">
      <c r="A69" s="2" t="s">
        <v>190</v>
      </c>
      <c r="B69" s="2" t="s">
        <v>64</v>
      </c>
      <c r="C69" s="2" t="s">
        <v>80</v>
      </c>
      <c r="D69" s="2" t="s">
        <v>81</v>
      </c>
      <c r="E69" s="2" t="s">
        <v>67</v>
      </c>
      <c r="F69" s="2" t="n">
        <v>11</v>
      </c>
      <c r="G69" s="2" t="n">
        <v>40</v>
      </c>
      <c r="H69" s="2" t="n">
        <f aca="false">ROUND(F69/G69*100,0)</f>
        <v>28</v>
      </c>
      <c r="I69" s="2" t="str">
        <f aca="false">IF(H69&gt;=workload_config!$B$2,"Overloaded",IF(H69&lt;workload_config!$B$3,"Underutilized","Optimal"))</f>
        <v>Underutilized</v>
      </c>
      <c r="J69" s="2" t="n">
        <v>1</v>
      </c>
      <c r="K69" s="2" t="n">
        <v>0</v>
      </c>
      <c r="L69" s="2" t="n">
        <v>11</v>
      </c>
      <c r="M69" s="2" t="n">
        <v>0</v>
      </c>
    </row>
    <row r="70" customFormat="false" ht="15" hidden="false" customHeight="false" outlineLevel="0" collapsed="false">
      <c r="A70" s="2" t="s">
        <v>190</v>
      </c>
      <c r="B70" s="2" t="s">
        <v>64</v>
      </c>
      <c r="C70" s="2" t="s">
        <v>82</v>
      </c>
      <c r="D70" s="2" t="s">
        <v>83</v>
      </c>
      <c r="E70" s="2" t="s">
        <v>67</v>
      </c>
      <c r="F70" s="2" t="n">
        <v>19</v>
      </c>
      <c r="G70" s="2" t="n">
        <v>40</v>
      </c>
      <c r="H70" s="2" t="n">
        <f aca="false">ROUND(F70/G70*100,0)</f>
        <v>48</v>
      </c>
      <c r="I70" s="2" t="str">
        <f aca="false">IF(H70&gt;=workload_config!$B$2,"Overloaded",IF(H70&lt;workload_config!$B$3,"Underutilized","Optimal"))</f>
        <v>Underutilized</v>
      </c>
      <c r="J70" s="2" t="n">
        <v>2</v>
      </c>
      <c r="K70" s="2" t="n">
        <v>9</v>
      </c>
      <c r="L70" s="2" t="n">
        <v>10</v>
      </c>
      <c r="M70" s="2" t="n">
        <v>0</v>
      </c>
    </row>
    <row r="71" customFormat="false" ht="15" hidden="false" customHeight="false" outlineLevel="0" collapsed="false">
      <c r="A71" s="2" t="s">
        <v>190</v>
      </c>
      <c r="B71" s="2" t="s">
        <v>64</v>
      </c>
      <c r="C71" s="2" t="s">
        <v>84</v>
      </c>
      <c r="D71" s="2" t="s">
        <v>85</v>
      </c>
      <c r="E71" s="2" t="s">
        <v>67</v>
      </c>
      <c r="F71" s="2" t="n">
        <v>11</v>
      </c>
      <c r="G71" s="2" t="n">
        <v>40</v>
      </c>
      <c r="H71" s="2" t="n">
        <f aca="false">ROUND(F71/G71*100,0)</f>
        <v>28</v>
      </c>
      <c r="I71" s="2" t="str">
        <f aca="false">IF(H71&gt;=workload_config!$B$2,"Overloaded",IF(H71&lt;workload_config!$B$3,"Underutilized","Optimal"))</f>
        <v>Underutilized</v>
      </c>
      <c r="J71" s="2" t="n">
        <v>1</v>
      </c>
      <c r="K71" s="2" t="n">
        <v>11</v>
      </c>
      <c r="L71" s="2" t="n">
        <v>0</v>
      </c>
      <c r="M71" s="2" t="n">
        <v>0</v>
      </c>
    </row>
    <row r="72" customFormat="false" ht="15" hidden="false" customHeight="false" outlineLevel="0" collapsed="false">
      <c r="A72" s="2" t="s">
        <v>190</v>
      </c>
      <c r="B72" s="2" t="s">
        <v>64</v>
      </c>
      <c r="C72" s="2" t="s">
        <v>86</v>
      </c>
      <c r="D72" s="2" t="s">
        <v>87</v>
      </c>
      <c r="E72" s="2" t="s">
        <v>67</v>
      </c>
      <c r="F72" s="2" t="n">
        <v>0</v>
      </c>
      <c r="G72" s="2" t="n">
        <v>40</v>
      </c>
      <c r="H72" s="2" t="n">
        <f aca="false">ROUND(F72/G72*100,0)</f>
        <v>0</v>
      </c>
      <c r="I72" s="2" t="str">
        <f aca="false">IF(H72&gt;=workload_config!$B$2,"Overloaded",IF(H72&lt;workload_config!$B$3,"Underutilized","Optimal"))</f>
        <v>Underutilized</v>
      </c>
      <c r="J72" s="2" t="n">
        <v>0</v>
      </c>
      <c r="K72" s="2" t="n">
        <v>0</v>
      </c>
      <c r="L72" s="2" t="n">
        <v>0</v>
      </c>
      <c r="M72" s="2" t="n">
        <v>0</v>
      </c>
    </row>
    <row r="73" customFormat="false" ht="15" hidden="false" customHeight="false" outlineLevel="0" collapsed="false">
      <c r="A73" s="2" t="s">
        <v>190</v>
      </c>
      <c r="B73" s="2" t="s">
        <v>64</v>
      </c>
      <c r="C73" s="2" t="s">
        <v>88</v>
      </c>
      <c r="D73" s="2" t="s">
        <v>89</v>
      </c>
      <c r="E73" s="2" t="s">
        <v>67</v>
      </c>
      <c r="F73" s="2" t="n">
        <v>0</v>
      </c>
      <c r="G73" s="2" t="n">
        <v>40</v>
      </c>
      <c r="H73" s="2" t="n">
        <f aca="false">ROUND(F73/G73*100,0)</f>
        <v>0</v>
      </c>
      <c r="I73" s="2" t="str">
        <f aca="false">IF(H73&gt;=workload_config!$B$2,"Overloaded",IF(H73&lt;workload_config!$B$3,"Underutilized","Optimal"))</f>
        <v>Underutilized</v>
      </c>
      <c r="J73" s="2" t="n">
        <v>0</v>
      </c>
      <c r="K73" s="2" t="n">
        <v>0</v>
      </c>
      <c r="L73" s="2" t="n">
        <v>0</v>
      </c>
      <c r="M73" s="2" t="n">
        <v>0</v>
      </c>
    </row>
    <row r="74" customFormat="false" ht="15" hidden="false" customHeight="false" outlineLevel="0" collapsed="false">
      <c r="A74" s="2" t="s">
        <v>190</v>
      </c>
      <c r="B74" s="2" t="s">
        <v>64</v>
      </c>
      <c r="C74" s="2" t="s">
        <v>90</v>
      </c>
      <c r="D74" s="2" t="s">
        <v>91</v>
      </c>
      <c r="E74" s="2" t="s">
        <v>67</v>
      </c>
      <c r="F74" s="2" t="n">
        <v>22</v>
      </c>
      <c r="G74" s="2" t="n">
        <v>40</v>
      </c>
      <c r="H74" s="2" t="n">
        <f aca="false">ROUND(F74/G74*100,0)</f>
        <v>55</v>
      </c>
      <c r="I74" s="2" t="str">
        <f aca="false">IF(H74&gt;=workload_config!$B$2,"Overloaded",IF(H74&lt;workload_config!$B$3,"Underutilized","Optimal"))</f>
        <v>Optimal</v>
      </c>
      <c r="J74" s="2" t="n">
        <v>2</v>
      </c>
      <c r="K74" s="2" t="n">
        <v>22</v>
      </c>
      <c r="L74" s="2" t="n">
        <v>0</v>
      </c>
      <c r="M74" s="2" t="n">
        <v>0</v>
      </c>
    </row>
    <row r="75" customFormat="false" ht="15" hidden="false" customHeight="false" outlineLevel="0" collapsed="false">
      <c r="A75" s="2" t="s">
        <v>190</v>
      </c>
      <c r="B75" s="2" t="s">
        <v>64</v>
      </c>
      <c r="C75" s="2" t="s">
        <v>92</v>
      </c>
      <c r="D75" s="2" t="s">
        <v>93</v>
      </c>
      <c r="E75" s="2" t="s">
        <v>67</v>
      </c>
      <c r="F75" s="2" t="n">
        <v>19</v>
      </c>
      <c r="G75" s="2" t="n">
        <v>40</v>
      </c>
      <c r="H75" s="2" t="n">
        <f aca="false">ROUND(F75/G75*100,0)</f>
        <v>48</v>
      </c>
      <c r="I75" s="2" t="str">
        <f aca="false">IF(H75&gt;=workload_config!$B$2,"Overloaded",IF(H75&lt;workload_config!$B$3,"Underutilized","Optimal"))</f>
        <v>Underutilized</v>
      </c>
      <c r="J75" s="2" t="n">
        <v>2</v>
      </c>
      <c r="K75" s="2" t="n">
        <v>19</v>
      </c>
      <c r="L75" s="2" t="n">
        <v>0</v>
      </c>
      <c r="M75" s="2" t="n">
        <v>0</v>
      </c>
    </row>
    <row r="76" customFormat="false" ht="15" hidden="false" customHeight="false" outlineLevel="0" collapsed="false">
      <c r="A76" s="2" t="s">
        <v>190</v>
      </c>
      <c r="B76" s="2" t="s">
        <v>64</v>
      </c>
      <c r="C76" s="2" t="s">
        <v>94</v>
      </c>
      <c r="D76" s="2" t="s">
        <v>95</v>
      </c>
      <c r="E76" s="2" t="s">
        <v>96</v>
      </c>
      <c r="F76" s="2" t="n">
        <v>0</v>
      </c>
      <c r="G76" s="2" t="n">
        <v>40</v>
      </c>
      <c r="H76" s="2" t="n">
        <f aca="false">ROUND(F76/G76*100,0)</f>
        <v>0</v>
      </c>
      <c r="I76" s="2" t="str">
        <f aca="false">IF(H76&gt;=workload_config!$B$2,"Overloaded",IF(H76&lt;workload_config!$B$3,"Underutilized","Optimal"))</f>
        <v>Underutilized</v>
      </c>
      <c r="J76" s="2" t="n">
        <v>0</v>
      </c>
      <c r="K76" s="2" t="n">
        <v>0</v>
      </c>
      <c r="L76" s="2" t="n">
        <v>0</v>
      </c>
      <c r="M76" s="2" t="n">
        <v>0</v>
      </c>
    </row>
    <row r="77" customFormat="false" ht="15" hidden="false" customHeight="false" outlineLevel="0" collapsed="false">
      <c r="A77" s="2" t="s">
        <v>190</v>
      </c>
      <c r="B77" s="2" t="s">
        <v>64</v>
      </c>
      <c r="C77" s="2" t="s">
        <v>97</v>
      </c>
      <c r="D77" s="2" t="s">
        <v>98</v>
      </c>
      <c r="E77" s="2" t="s">
        <v>96</v>
      </c>
      <c r="F77" s="2" t="n">
        <v>20</v>
      </c>
      <c r="G77" s="2" t="n">
        <v>40</v>
      </c>
      <c r="H77" s="2" t="n">
        <f aca="false">ROUND(F77/G77*100,0)</f>
        <v>50</v>
      </c>
      <c r="I77" s="2" t="str">
        <f aca="false">IF(H77&gt;=workload_config!$B$2,"Overloaded",IF(H77&lt;workload_config!$B$3,"Underutilized","Optimal"))</f>
        <v>Optimal</v>
      </c>
      <c r="J77" s="2" t="n">
        <v>2</v>
      </c>
      <c r="K77" s="2" t="n">
        <v>20</v>
      </c>
      <c r="L77" s="2" t="n">
        <v>0</v>
      </c>
      <c r="M77" s="2" t="n">
        <v>0</v>
      </c>
    </row>
    <row r="78" customFormat="false" ht="15" hidden="false" customHeight="false" outlineLevel="0" collapsed="false">
      <c r="A78" s="2" t="s">
        <v>190</v>
      </c>
      <c r="B78" s="2" t="s">
        <v>64</v>
      </c>
      <c r="C78" s="2" t="s">
        <v>99</v>
      </c>
      <c r="D78" s="2" t="s">
        <v>100</v>
      </c>
      <c r="E78" s="2" t="s">
        <v>96</v>
      </c>
      <c r="F78" s="2" t="n">
        <v>12</v>
      </c>
      <c r="G78" s="2" t="n">
        <v>40</v>
      </c>
      <c r="H78" s="2" t="n">
        <f aca="false">ROUND(F78/G78*100,0)</f>
        <v>30</v>
      </c>
      <c r="I78" s="2" t="str">
        <f aca="false">IF(H78&gt;=workload_config!$B$2,"Overloaded",IF(H78&lt;workload_config!$B$3,"Underutilized","Optimal"))</f>
        <v>Underutilized</v>
      </c>
      <c r="J78" s="2" t="n">
        <v>1</v>
      </c>
      <c r="K78" s="2" t="n">
        <v>12</v>
      </c>
      <c r="L78" s="2" t="n">
        <v>0</v>
      </c>
      <c r="M78" s="2" t="n">
        <v>0</v>
      </c>
    </row>
    <row r="79" customFormat="false" ht="15" hidden="false" customHeight="false" outlineLevel="0" collapsed="false">
      <c r="A79" s="2" t="s">
        <v>190</v>
      </c>
      <c r="B79" s="2" t="s">
        <v>64</v>
      </c>
      <c r="C79" s="2" t="s">
        <v>101</v>
      </c>
      <c r="D79" s="2" t="s">
        <v>102</v>
      </c>
      <c r="E79" s="2" t="s">
        <v>96</v>
      </c>
      <c r="F79" s="2" t="n">
        <v>29</v>
      </c>
      <c r="G79" s="2" t="n">
        <v>40</v>
      </c>
      <c r="H79" s="2" t="n">
        <f aca="false">ROUND(F79/G79*100,0)</f>
        <v>73</v>
      </c>
      <c r="I79" s="2" t="str">
        <f aca="false">IF(H79&gt;=workload_config!$B$2,"Overloaded",IF(H79&lt;workload_config!$B$3,"Underutilized","Optimal"))</f>
        <v>Optimal</v>
      </c>
      <c r="J79" s="2" t="n">
        <v>3</v>
      </c>
      <c r="K79" s="2" t="n">
        <v>29</v>
      </c>
      <c r="L79" s="2" t="n">
        <v>0</v>
      </c>
      <c r="M79" s="2" t="n">
        <v>0</v>
      </c>
    </row>
    <row r="80" customFormat="false" ht="15" hidden="false" customHeight="false" outlineLevel="0" collapsed="false">
      <c r="A80" s="2" t="s">
        <v>190</v>
      </c>
      <c r="B80" s="2" t="s">
        <v>64</v>
      </c>
      <c r="C80" s="2" t="s">
        <v>103</v>
      </c>
      <c r="D80" s="2" t="s">
        <v>104</v>
      </c>
      <c r="E80" s="2" t="s">
        <v>96</v>
      </c>
      <c r="F80" s="2" t="n">
        <v>27</v>
      </c>
      <c r="G80" s="2" t="n">
        <v>40</v>
      </c>
      <c r="H80" s="2" t="n">
        <f aca="false">ROUND(F80/G80*100,0)</f>
        <v>68</v>
      </c>
      <c r="I80" s="2" t="str">
        <f aca="false">IF(H80&gt;=workload_config!$B$2,"Overloaded",IF(H80&lt;workload_config!$B$3,"Underutilized","Optimal"))</f>
        <v>Optimal</v>
      </c>
      <c r="J80" s="2" t="n">
        <v>3</v>
      </c>
      <c r="K80" s="2" t="n">
        <v>9</v>
      </c>
      <c r="L80" s="2" t="n">
        <v>18</v>
      </c>
      <c r="M80" s="2" t="n">
        <v>0</v>
      </c>
    </row>
    <row r="81" customFormat="false" ht="15" hidden="false" customHeight="false" outlineLevel="0" collapsed="false">
      <c r="A81" s="2" t="s">
        <v>190</v>
      </c>
      <c r="B81" s="2" t="s">
        <v>64</v>
      </c>
      <c r="C81" s="2" t="s">
        <v>105</v>
      </c>
      <c r="D81" s="2" t="s">
        <v>106</v>
      </c>
      <c r="E81" s="2" t="s">
        <v>96</v>
      </c>
      <c r="F81" s="2" t="n">
        <v>9</v>
      </c>
      <c r="G81" s="2" t="n">
        <v>40</v>
      </c>
      <c r="H81" s="2" t="n">
        <f aca="false">ROUND(F81/G81*100,0)</f>
        <v>23</v>
      </c>
      <c r="I81" s="2" t="str">
        <f aca="false">IF(H81&gt;=workload_config!$B$2,"Overloaded",IF(H81&lt;workload_config!$B$3,"Underutilized","Optimal"))</f>
        <v>Underutilized</v>
      </c>
      <c r="J81" s="2" t="n">
        <v>1</v>
      </c>
      <c r="K81" s="2" t="n">
        <v>9</v>
      </c>
      <c r="L81" s="2" t="n">
        <v>0</v>
      </c>
      <c r="M81" s="2" t="n">
        <v>0</v>
      </c>
    </row>
    <row r="82" customFormat="false" ht="15" hidden="false" customHeight="false" outlineLevel="0" collapsed="false">
      <c r="A82" s="2" t="s">
        <v>190</v>
      </c>
      <c r="B82" s="2" t="s">
        <v>64</v>
      </c>
      <c r="C82" s="2" t="s">
        <v>107</v>
      </c>
      <c r="D82" s="2" t="s">
        <v>108</v>
      </c>
      <c r="E82" s="2" t="s">
        <v>96</v>
      </c>
      <c r="F82" s="2" t="n">
        <v>0</v>
      </c>
      <c r="G82" s="2" t="n">
        <v>40</v>
      </c>
      <c r="H82" s="2" t="n">
        <f aca="false">ROUND(F82/G82*100,0)</f>
        <v>0</v>
      </c>
      <c r="I82" s="2" t="str">
        <f aca="false">IF(H82&gt;=workload_config!$B$2,"Overloaded",IF(H82&lt;workload_config!$B$3,"Underutilized","Optimal"))</f>
        <v>Underutilized</v>
      </c>
      <c r="J82" s="2" t="n">
        <v>0</v>
      </c>
      <c r="K82" s="2" t="n">
        <v>0</v>
      </c>
      <c r="L82" s="2" t="n">
        <v>0</v>
      </c>
      <c r="M82" s="2" t="n">
        <v>0</v>
      </c>
    </row>
    <row r="83" customFormat="false" ht="15" hidden="false" customHeight="false" outlineLevel="0" collapsed="false">
      <c r="A83" s="2" t="s">
        <v>190</v>
      </c>
      <c r="B83" s="2" t="s">
        <v>64</v>
      </c>
      <c r="C83" s="2" t="s">
        <v>109</v>
      </c>
      <c r="D83" s="2" t="s">
        <v>110</v>
      </c>
      <c r="E83" s="2" t="s">
        <v>96</v>
      </c>
      <c r="F83" s="2" t="n">
        <v>29</v>
      </c>
      <c r="G83" s="2" t="n">
        <v>40</v>
      </c>
      <c r="H83" s="2" t="n">
        <f aca="false">ROUND(F83/G83*100,0)</f>
        <v>73</v>
      </c>
      <c r="I83" s="2" t="str">
        <f aca="false">IF(H83&gt;=workload_config!$B$2,"Overloaded",IF(H83&lt;workload_config!$B$3,"Underutilized","Optimal"))</f>
        <v>Optimal</v>
      </c>
      <c r="J83" s="2" t="n">
        <v>3</v>
      </c>
      <c r="K83" s="2" t="n">
        <v>29</v>
      </c>
      <c r="L83" s="2" t="n">
        <v>0</v>
      </c>
      <c r="M83" s="2" t="n">
        <v>0</v>
      </c>
    </row>
    <row r="84" customFormat="false" ht="15" hidden="false" customHeight="false" outlineLevel="0" collapsed="false">
      <c r="A84" s="2" t="s">
        <v>190</v>
      </c>
      <c r="B84" s="2" t="s">
        <v>64</v>
      </c>
      <c r="C84" s="2" t="s">
        <v>111</v>
      </c>
      <c r="D84" s="2" t="s">
        <v>112</v>
      </c>
      <c r="E84" s="2" t="s">
        <v>96</v>
      </c>
      <c r="F84" s="2" t="n">
        <v>19</v>
      </c>
      <c r="G84" s="2" t="n">
        <v>40</v>
      </c>
      <c r="H84" s="2" t="n">
        <f aca="false">ROUND(F84/G84*100,0)</f>
        <v>48</v>
      </c>
      <c r="I84" s="2" t="str">
        <f aca="false">IF(H84&gt;=workload_config!$B$2,"Overloaded",IF(H84&lt;workload_config!$B$3,"Underutilized","Optimal"))</f>
        <v>Underutilized</v>
      </c>
      <c r="J84" s="2" t="n">
        <v>2</v>
      </c>
      <c r="K84" s="2" t="n">
        <v>19</v>
      </c>
      <c r="L84" s="2" t="n">
        <v>0</v>
      </c>
      <c r="M84" s="2" t="n">
        <v>0</v>
      </c>
    </row>
    <row r="85" customFormat="false" ht="15" hidden="false" customHeight="false" outlineLevel="0" collapsed="false">
      <c r="A85" s="2" t="s">
        <v>190</v>
      </c>
      <c r="B85" s="2" t="s">
        <v>64</v>
      </c>
      <c r="C85" s="2" t="s">
        <v>113</v>
      </c>
      <c r="D85" s="2" t="s">
        <v>114</v>
      </c>
      <c r="E85" s="2" t="s">
        <v>96</v>
      </c>
      <c r="F85" s="2" t="n">
        <v>7</v>
      </c>
      <c r="G85" s="2" t="n">
        <v>40</v>
      </c>
      <c r="H85" s="2" t="n">
        <f aca="false">ROUND(F85/G85*100,0)</f>
        <v>18</v>
      </c>
      <c r="I85" s="2" t="str">
        <f aca="false">IF(H85&gt;=workload_config!$B$2,"Overloaded",IF(H85&lt;workload_config!$B$3,"Underutilized","Optimal"))</f>
        <v>Underutilized</v>
      </c>
      <c r="J85" s="2" t="n">
        <v>1</v>
      </c>
      <c r="K85" s="2" t="n">
        <v>7</v>
      </c>
      <c r="L85" s="2" t="n">
        <v>0</v>
      </c>
      <c r="M85" s="2" t="n">
        <v>0</v>
      </c>
    </row>
    <row r="86" customFormat="false" ht="15" hidden="false" customHeight="false" outlineLevel="0" collapsed="false">
      <c r="A86" s="2" t="s">
        <v>190</v>
      </c>
      <c r="B86" s="2" t="s">
        <v>64</v>
      </c>
      <c r="C86" s="2" t="s">
        <v>115</v>
      </c>
      <c r="D86" s="2" t="s">
        <v>116</v>
      </c>
      <c r="E86" s="2" t="s">
        <v>96</v>
      </c>
      <c r="F86" s="2" t="n">
        <v>18</v>
      </c>
      <c r="G86" s="2" t="n">
        <v>40</v>
      </c>
      <c r="H86" s="2" t="n">
        <f aca="false">ROUND(F86/G86*100,0)</f>
        <v>45</v>
      </c>
      <c r="I86" s="2" t="str">
        <f aca="false">IF(H86&gt;=workload_config!$B$2,"Overloaded",IF(H86&lt;workload_config!$B$3,"Underutilized","Optimal"))</f>
        <v>Underutilized</v>
      </c>
      <c r="J86" s="2" t="n">
        <v>2</v>
      </c>
      <c r="K86" s="2" t="n">
        <v>18</v>
      </c>
      <c r="L86" s="2" t="n">
        <v>0</v>
      </c>
      <c r="M86" s="2" t="n">
        <v>0</v>
      </c>
    </row>
    <row r="87" customFormat="false" ht="15" hidden="false" customHeight="false" outlineLevel="0" collapsed="false">
      <c r="A87" s="2" t="s">
        <v>190</v>
      </c>
      <c r="B87" s="2" t="s">
        <v>64</v>
      </c>
      <c r="C87" s="2" t="s">
        <v>117</v>
      </c>
      <c r="D87" s="2" t="s">
        <v>118</v>
      </c>
      <c r="E87" s="2" t="s">
        <v>119</v>
      </c>
      <c r="F87" s="2" t="n">
        <v>9</v>
      </c>
      <c r="G87" s="2" t="n">
        <v>40</v>
      </c>
      <c r="H87" s="2" t="n">
        <f aca="false">ROUND(F87/G87*100,0)</f>
        <v>23</v>
      </c>
      <c r="I87" s="2" t="str">
        <f aca="false">IF(H87&gt;=workload_config!$B$2,"Overloaded",IF(H87&lt;workload_config!$B$3,"Underutilized","Optimal"))</f>
        <v>Underutilized</v>
      </c>
      <c r="J87" s="2" t="n">
        <v>1</v>
      </c>
      <c r="K87" s="2" t="n">
        <v>9</v>
      </c>
      <c r="L87" s="2" t="n">
        <v>0</v>
      </c>
      <c r="M87" s="2" t="n">
        <v>0</v>
      </c>
    </row>
    <row r="88" customFormat="false" ht="15" hidden="false" customHeight="false" outlineLevel="0" collapsed="false">
      <c r="A88" s="2" t="s">
        <v>190</v>
      </c>
      <c r="B88" s="2" t="s">
        <v>64</v>
      </c>
      <c r="C88" s="2" t="s">
        <v>120</v>
      </c>
      <c r="D88" s="2" t="s">
        <v>121</v>
      </c>
      <c r="E88" s="2" t="s">
        <v>119</v>
      </c>
      <c r="F88" s="2" t="n">
        <v>11</v>
      </c>
      <c r="G88" s="2" t="n">
        <v>40</v>
      </c>
      <c r="H88" s="2" t="n">
        <f aca="false">ROUND(F88/G88*100,0)</f>
        <v>28</v>
      </c>
      <c r="I88" s="2" t="str">
        <f aca="false">IF(H88&gt;=workload_config!$B$2,"Overloaded",IF(H88&lt;workload_config!$B$3,"Underutilized","Optimal"))</f>
        <v>Underutilized</v>
      </c>
      <c r="J88" s="2" t="n">
        <v>1</v>
      </c>
      <c r="K88" s="2" t="n">
        <v>11</v>
      </c>
      <c r="L88" s="2" t="n">
        <v>0</v>
      </c>
      <c r="M88" s="2" t="n">
        <v>0</v>
      </c>
    </row>
    <row r="89" customFormat="false" ht="15" hidden="false" customHeight="false" outlineLevel="0" collapsed="false">
      <c r="A89" s="2" t="s">
        <v>190</v>
      </c>
      <c r="B89" s="2" t="s">
        <v>64</v>
      </c>
      <c r="C89" s="2" t="s">
        <v>122</v>
      </c>
      <c r="D89" s="2" t="s">
        <v>123</v>
      </c>
      <c r="E89" s="2" t="s">
        <v>119</v>
      </c>
      <c r="F89" s="2" t="n">
        <v>17</v>
      </c>
      <c r="G89" s="2" t="n">
        <v>40</v>
      </c>
      <c r="H89" s="2" t="n">
        <f aca="false">ROUND(F89/G89*100,0)</f>
        <v>43</v>
      </c>
      <c r="I89" s="2" t="str">
        <f aca="false">IF(H89&gt;=workload_config!$B$2,"Overloaded",IF(H89&lt;workload_config!$B$3,"Underutilized","Optimal"))</f>
        <v>Underutilized</v>
      </c>
      <c r="J89" s="2" t="n">
        <v>2</v>
      </c>
      <c r="K89" s="2" t="n">
        <v>7</v>
      </c>
      <c r="L89" s="2" t="n">
        <v>10</v>
      </c>
      <c r="M89" s="2" t="n">
        <v>0</v>
      </c>
    </row>
    <row r="90" customFormat="false" ht="15" hidden="false" customHeight="false" outlineLevel="0" collapsed="false">
      <c r="A90" s="2" t="s">
        <v>190</v>
      </c>
      <c r="B90" s="2" t="s">
        <v>64</v>
      </c>
      <c r="C90" s="2" t="s">
        <v>124</v>
      </c>
      <c r="D90" s="2" t="s">
        <v>125</v>
      </c>
      <c r="E90" s="2" t="s">
        <v>119</v>
      </c>
      <c r="F90" s="2" t="n">
        <v>10</v>
      </c>
      <c r="G90" s="2" t="n">
        <v>40</v>
      </c>
      <c r="H90" s="2" t="n">
        <f aca="false">ROUND(F90/G90*100,0)</f>
        <v>25</v>
      </c>
      <c r="I90" s="2" t="str">
        <f aca="false">IF(H90&gt;=workload_config!$B$2,"Overloaded",IF(H90&lt;workload_config!$B$3,"Underutilized","Optimal"))</f>
        <v>Underutilized</v>
      </c>
      <c r="J90" s="2" t="n">
        <v>1</v>
      </c>
      <c r="K90" s="2" t="n">
        <v>10</v>
      </c>
      <c r="L90" s="2" t="n">
        <v>0</v>
      </c>
      <c r="M90" s="2" t="n">
        <v>0</v>
      </c>
    </row>
    <row r="91" customFormat="false" ht="15" hidden="false" customHeight="false" outlineLevel="0" collapsed="false">
      <c r="A91" s="2" t="s">
        <v>190</v>
      </c>
      <c r="B91" s="2" t="s">
        <v>64</v>
      </c>
      <c r="C91" s="2" t="s">
        <v>126</v>
      </c>
      <c r="D91" s="2" t="s">
        <v>127</v>
      </c>
      <c r="E91" s="2" t="s">
        <v>119</v>
      </c>
      <c r="F91" s="2" t="n">
        <v>29</v>
      </c>
      <c r="G91" s="2" t="n">
        <v>40</v>
      </c>
      <c r="H91" s="2" t="n">
        <f aca="false">ROUND(F91/G91*100,0)</f>
        <v>73</v>
      </c>
      <c r="I91" s="2" t="str">
        <f aca="false">IF(H91&gt;=workload_config!$B$2,"Overloaded",IF(H91&lt;workload_config!$B$3,"Underutilized","Optimal"))</f>
        <v>Optimal</v>
      </c>
      <c r="J91" s="2" t="n">
        <v>3</v>
      </c>
      <c r="K91" s="2" t="n">
        <v>29</v>
      </c>
      <c r="L91" s="2" t="n">
        <v>0</v>
      </c>
      <c r="M91" s="2" t="n">
        <v>0</v>
      </c>
    </row>
    <row r="92" customFormat="false" ht="15" hidden="false" customHeight="false" outlineLevel="0" collapsed="false">
      <c r="A92" s="2" t="s">
        <v>190</v>
      </c>
      <c r="B92" s="2" t="s">
        <v>64</v>
      </c>
      <c r="C92" s="2" t="s">
        <v>128</v>
      </c>
      <c r="D92" s="2" t="s">
        <v>129</v>
      </c>
      <c r="E92" s="2" t="s">
        <v>119</v>
      </c>
      <c r="F92" s="2" t="n">
        <v>24</v>
      </c>
      <c r="G92" s="2" t="n">
        <v>40</v>
      </c>
      <c r="H92" s="2" t="n">
        <f aca="false">ROUND(F92/G92*100,0)</f>
        <v>60</v>
      </c>
      <c r="I92" s="2" t="str">
        <f aca="false">IF(H92&gt;=workload_config!$B$2,"Overloaded",IF(H92&lt;workload_config!$B$3,"Underutilized","Optimal"))</f>
        <v>Optimal</v>
      </c>
      <c r="J92" s="2" t="n">
        <v>2</v>
      </c>
      <c r="K92" s="2" t="n">
        <v>24</v>
      </c>
      <c r="L92" s="2" t="n">
        <v>0</v>
      </c>
      <c r="M92" s="2" t="n">
        <v>0</v>
      </c>
    </row>
    <row r="93" customFormat="false" ht="15" hidden="false" customHeight="false" outlineLevel="0" collapsed="false">
      <c r="A93" s="2" t="s">
        <v>190</v>
      </c>
      <c r="B93" s="2" t="s">
        <v>64</v>
      </c>
      <c r="C93" s="2" t="s">
        <v>130</v>
      </c>
      <c r="D93" s="2" t="s">
        <v>131</v>
      </c>
      <c r="E93" s="2" t="s">
        <v>119</v>
      </c>
      <c r="F93" s="2" t="n">
        <v>0</v>
      </c>
      <c r="G93" s="2" t="n">
        <v>40</v>
      </c>
      <c r="H93" s="2" t="n">
        <f aca="false">ROUND(F93/G93*100,0)</f>
        <v>0</v>
      </c>
      <c r="I93" s="2" t="str">
        <f aca="false">IF(H93&gt;=workload_config!$B$2,"Overloaded",IF(H93&lt;workload_config!$B$3,"Underutilized","Optimal"))</f>
        <v>Underutilized</v>
      </c>
      <c r="J93" s="2" t="n">
        <v>0</v>
      </c>
      <c r="K93" s="2" t="n">
        <v>0</v>
      </c>
      <c r="L93" s="2" t="n">
        <v>0</v>
      </c>
      <c r="M93" s="2" t="n">
        <v>0</v>
      </c>
    </row>
    <row r="94" customFormat="false" ht="15" hidden="false" customHeight="false" outlineLevel="0" collapsed="false">
      <c r="A94" s="2" t="s">
        <v>190</v>
      </c>
      <c r="B94" s="2" t="s">
        <v>64</v>
      </c>
      <c r="C94" s="2" t="s">
        <v>132</v>
      </c>
      <c r="D94" s="2" t="s">
        <v>133</v>
      </c>
      <c r="E94" s="2" t="s">
        <v>119</v>
      </c>
      <c r="F94" s="2" t="n">
        <v>0</v>
      </c>
      <c r="G94" s="2" t="n">
        <v>40</v>
      </c>
      <c r="H94" s="2" t="n">
        <f aca="false">ROUND(F94/G94*100,0)</f>
        <v>0</v>
      </c>
      <c r="I94" s="2" t="str">
        <f aca="false">IF(H94&gt;=workload_config!$B$2,"Overloaded",IF(H94&lt;workload_config!$B$3,"Underutilized","Optimal"))</f>
        <v>Underutilized</v>
      </c>
      <c r="J94" s="2" t="n">
        <v>0</v>
      </c>
      <c r="K94" s="2" t="n">
        <v>0</v>
      </c>
      <c r="L94" s="2" t="n">
        <v>0</v>
      </c>
      <c r="M94" s="2" t="n">
        <v>0</v>
      </c>
    </row>
    <row r="95" customFormat="false" ht="15" hidden="false" customHeight="false" outlineLevel="0" collapsed="false">
      <c r="A95" s="2" t="s">
        <v>190</v>
      </c>
      <c r="B95" s="2" t="s">
        <v>64</v>
      </c>
      <c r="C95" s="2" t="s">
        <v>134</v>
      </c>
      <c r="D95" s="2" t="s">
        <v>135</v>
      </c>
      <c r="E95" s="2" t="s">
        <v>119</v>
      </c>
      <c r="F95" s="2" t="n">
        <v>0</v>
      </c>
      <c r="G95" s="2" t="n">
        <v>40</v>
      </c>
      <c r="H95" s="2" t="n">
        <f aca="false">ROUND(F95/G95*100,0)</f>
        <v>0</v>
      </c>
      <c r="I95" s="2" t="str">
        <f aca="false">IF(H95&gt;=workload_config!$B$2,"Overloaded",IF(H95&lt;workload_config!$B$3,"Underutilized","Optimal"))</f>
        <v>Underutilized</v>
      </c>
      <c r="J95" s="2" t="n">
        <v>0</v>
      </c>
      <c r="K95" s="2" t="n">
        <v>0</v>
      </c>
      <c r="L95" s="2" t="n">
        <v>0</v>
      </c>
      <c r="M95" s="2" t="n">
        <v>0</v>
      </c>
    </row>
    <row r="96" customFormat="false" ht="15" hidden="false" customHeight="false" outlineLevel="0" collapsed="false">
      <c r="A96" s="2" t="s">
        <v>190</v>
      </c>
      <c r="B96" s="2" t="s">
        <v>64</v>
      </c>
      <c r="C96" s="2" t="s">
        <v>136</v>
      </c>
      <c r="D96" s="2" t="s">
        <v>137</v>
      </c>
      <c r="E96" s="2" t="s">
        <v>119</v>
      </c>
      <c r="F96" s="2" t="n">
        <v>25</v>
      </c>
      <c r="G96" s="2" t="n">
        <v>40</v>
      </c>
      <c r="H96" s="2" t="n">
        <f aca="false">ROUND(F96/G96*100,0)</f>
        <v>63</v>
      </c>
      <c r="I96" s="2" t="str">
        <f aca="false">IF(H96&gt;=workload_config!$B$2,"Overloaded",IF(H96&lt;workload_config!$B$3,"Underutilized","Optimal"))</f>
        <v>Optimal</v>
      </c>
      <c r="J96" s="2" t="n">
        <v>2</v>
      </c>
      <c r="K96" s="2" t="n">
        <v>25</v>
      </c>
      <c r="L96" s="2" t="n">
        <v>0</v>
      </c>
      <c r="M96" s="2" t="n">
        <v>0</v>
      </c>
    </row>
    <row r="97" customFormat="false" ht="15" hidden="false" customHeight="false" outlineLevel="0" collapsed="false">
      <c r="A97" s="2" t="s">
        <v>190</v>
      </c>
      <c r="B97" s="2" t="s">
        <v>64</v>
      </c>
      <c r="C97" s="2" t="s">
        <v>138</v>
      </c>
      <c r="D97" s="2" t="s">
        <v>139</v>
      </c>
      <c r="E97" s="2" t="s">
        <v>119</v>
      </c>
      <c r="F97" s="2" t="n">
        <v>0</v>
      </c>
      <c r="G97" s="2" t="n">
        <v>40</v>
      </c>
      <c r="H97" s="2" t="n">
        <f aca="false">ROUND(F97/G97*100,0)</f>
        <v>0</v>
      </c>
      <c r="I97" s="2" t="str">
        <f aca="false">IF(H97&gt;=workload_config!$B$2,"Overloaded",IF(H97&lt;workload_config!$B$3,"Underutilized","Optimal"))</f>
        <v>Underutilized</v>
      </c>
      <c r="J97" s="2" t="n">
        <v>0</v>
      </c>
      <c r="K97" s="2" t="n">
        <v>0</v>
      </c>
      <c r="L97" s="2" t="n">
        <v>0</v>
      </c>
      <c r="M97" s="2" t="n">
        <v>0</v>
      </c>
    </row>
    <row r="98" customFormat="false" ht="15" hidden="false" customHeight="false" outlineLevel="0" collapsed="false">
      <c r="A98" s="2" t="s">
        <v>190</v>
      </c>
      <c r="B98" s="2" t="s">
        <v>64</v>
      </c>
      <c r="C98" s="2" t="s">
        <v>140</v>
      </c>
      <c r="D98" s="2" t="s">
        <v>141</v>
      </c>
      <c r="E98" s="2" t="s">
        <v>119</v>
      </c>
      <c r="F98" s="2" t="n">
        <v>13</v>
      </c>
      <c r="G98" s="2" t="n">
        <v>40</v>
      </c>
      <c r="H98" s="2" t="n">
        <f aca="false">ROUND(F98/G98*100,0)</f>
        <v>33</v>
      </c>
      <c r="I98" s="2" t="str">
        <f aca="false">IF(H98&gt;=workload_config!$B$2,"Overloaded",IF(H98&lt;workload_config!$B$3,"Underutilized","Optimal"))</f>
        <v>Underutilized</v>
      </c>
      <c r="J98" s="2" t="n">
        <v>1</v>
      </c>
      <c r="K98" s="2" t="n">
        <v>13</v>
      </c>
      <c r="L98" s="2" t="n">
        <v>0</v>
      </c>
      <c r="M98" s="2" t="n">
        <v>0</v>
      </c>
    </row>
    <row r="99" customFormat="false" ht="15" hidden="false" customHeight="false" outlineLevel="0" collapsed="false">
      <c r="A99" s="2" t="s">
        <v>190</v>
      </c>
      <c r="B99" s="2" t="s">
        <v>64</v>
      </c>
      <c r="C99" s="2" t="s">
        <v>142</v>
      </c>
      <c r="D99" s="2" t="s">
        <v>143</v>
      </c>
      <c r="E99" s="2" t="s">
        <v>119</v>
      </c>
      <c r="F99" s="2" t="n">
        <v>11</v>
      </c>
      <c r="G99" s="2" t="n">
        <v>40</v>
      </c>
      <c r="H99" s="2" t="n">
        <f aca="false">ROUND(F99/G99*100,0)</f>
        <v>28</v>
      </c>
      <c r="I99" s="2" t="str">
        <f aca="false">IF(H99&gt;=workload_config!$B$2,"Overloaded",IF(H99&lt;workload_config!$B$3,"Underutilized","Optimal"))</f>
        <v>Underutilized</v>
      </c>
      <c r="J99" s="2" t="n">
        <v>1</v>
      </c>
      <c r="K99" s="2" t="n">
        <v>0</v>
      </c>
      <c r="L99" s="2" t="n">
        <v>11</v>
      </c>
      <c r="M99" s="2" t="n">
        <v>0</v>
      </c>
    </row>
    <row r="100" customFormat="false" ht="15" hidden="false" customHeight="false" outlineLevel="0" collapsed="false">
      <c r="A100" s="2" t="s">
        <v>190</v>
      </c>
      <c r="B100" s="2" t="s">
        <v>64</v>
      </c>
      <c r="C100" s="2" t="s">
        <v>144</v>
      </c>
      <c r="D100" s="2" t="s">
        <v>145</v>
      </c>
      <c r="E100" s="2" t="s">
        <v>146</v>
      </c>
      <c r="F100" s="2" t="n">
        <v>0</v>
      </c>
      <c r="G100" s="2" t="n">
        <v>40</v>
      </c>
      <c r="H100" s="2" t="n">
        <f aca="false">ROUND(F100/G100*100,0)</f>
        <v>0</v>
      </c>
      <c r="I100" s="2" t="str">
        <f aca="false">IF(H100&gt;=workload_config!$B$2,"Overloaded",IF(H100&lt;workload_config!$B$3,"Underutilized","Optimal"))</f>
        <v>Underutilized</v>
      </c>
      <c r="J100" s="2" t="n">
        <v>0</v>
      </c>
      <c r="K100" s="2" t="n">
        <v>0</v>
      </c>
      <c r="L100" s="2" t="n">
        <v>0</v>
      </c>
      <c r="M100" s="2" t="n">
        <v>0</v>
      </c>
    </row>
    <row r="101" customFormat="false" ht="15" hidden="false" customHeight="false" outlineLevel="0" collapsed="false">
      <c r="A101" s="2" t="s">
        <v>190</v>
      </c>
      <c r="B101" s="2" t="s">
        <v>64</v>
      </c>
      <c r="C101" s="2" t="s">
        <v>147</v>
      </c>
      <c r="D101" s="2" t="s">
        <v>148</v>
      </c>
      <c r="E101" s="2" t="s">
        <v>146</v>
      </c>
      <c r="F101" s="2" t="n">
        <v>0</v>
      </c>
      <c r="G101" s="2" t="n">
        <v>40</v>
      </c>
      <c r="H101" s="2" t="n">
        <f aca="false">ROUND(F101/G101*100,0)</f>
        <v>0</v>
      </c>
      <c r="I101" s="2" t="str">
        <f aca="false">IF(H101&gt;=workload_config!$B$2,"Overloaded",IF(H101&lt;workload_config!$B$3,"Underutilized","Optimal"))</f>
        <v>Underutilized</v>
      </c>
      <c r="J101" s="2" t="n">
        <v>0</v>
      </c>
      <c r="K101" s="2" t="n">
        <v>0</v>
      </c>
      <c r="L101" s="2" t="n">
        <v>0</v>
      </c>
      <c r="M101" s="2" t="n">
        <v>0</v>
      </c>
    </row>
    <row r="102" customFormat="false" ht="15" hidden="false" customHeight="false" outlineLevel="0" collapsed="false">
      <c r="A102" s="2" t="s">
        <v>190</v>
      </c>
      <c r="B102" s="2" t="s">
        <v>64</v>
      </c>
      <c r="C102" s="2" t="s">
        <v>149</v>
      </c>
      <c r="D102" s="2" t="s">
        <v>150</v>
      </c>
      <c r="E102" s="2" t="s">
        <v>146</v>
      </c>
      <c r="F102" s="2" t="n">
        <v>20</v>
      </c>
      <c r="G102" s="2" t="n">
        <v>40</v>
      </c>
      <c r="H102" s="2" t="n">
        <f aca="false">ROUND(F102/G102*100,0)</f>
        <v>50</v>
      </c>
      <c r="I102" s="2" t="str">
        <f aca="false">IF(H102&gt;=workload_config!$B$2,"Overloaded",IF(H102&lt;workload_config!$B$3,"Underutilized","Optimal"))</f>
        <v>Optimal</v>
      </c>
      <c r="J102" s="2" t="n">
        <v>2</v>
      </c>
      <c r="K102" s="2" t="n">
        <v>20</v>
      </c>
      <c r="L102" s="2" t="n">
        <v>0</v>
      </c>
      <c r="M102" s="2" t="n">
        <v>0</v>
      </c>
    </row>
    <row r="103" customFormat="false" ht="15" hidden="false" customHeight="false" outlineLevel="0" collapsed="false">
      <c r="A103" s="2" t="s">
        <v>190</v>
      </c>
      <c r="B103" s="2" t="s">
        <v>64</v>
      </c>
      <c r="C103" s="2" t="s">
        <v>151</v>
      </c>
      <c r="D103" s="2" t="s">
        <v>152</v>
      </c>
      <c r="E103" s="2" t="s">
        <v>146</v>
      </c>
      <c r="F103" s="2" t="n">
        <v>11</v>
      </c>
      <c r="G103" s="2" t="n">
        <v>40</v>
      </c>
      <c r="H103" s="2" t="n">
        <f aca="false">ROUND(F103/G103*100,0)</f>
        <v>28</v>
      </c>
      <c r="I103" s="2" t="str">
        <f aca="false">IF(H103&gt;=workload_config!$B$2,"Overloaded",IF(H103&lt;workload_config!$B$3,"Underutilized","Optimal"))</f>
        <v>Underutilized</v>
      </c>
      <c r="J103" s="2" t="n">
        <v>1</v>
      </c>
      <c r="K103" s="2" t="n">
        <v>11</v>
      </c>
      <c r="L103" s="2" t="n">
        <v>0</v>
      </c>
      <c r="M103" s="2" t="n">
        <v>0</v>
      </c>
    </row>
    <row r="104" customFormat="false" ht="15" hidden="false" customHeight="false" outlineLevel="0" collapsed="false">
      <c r="A104" s="2" t="s">
        <v>190</v>
      </c>
      <c r="B104" s="2" t="s">
        <v>64</v>
      </c>
      <c r="C104" s="2" t="s">
        <v>153</v>
      </c>
      <c r="D104" s="2" t="s">
        <v>154</v>
      </c>
      <c r="E104" s="2" t="s">
        <v>146</v>
      </c>
      <c r="F104" s="2" t="n">
        <v>13</v>
      </c>
      <c r="G104" s="2" t="n">
        <v>40</v>
      </c>
      <c r="H104" s="2" t="n">
        <f aca="false">ROUND(F104/G104*100,0)</f>
        <v>33</v>
      </c>
      <c r="I104" s="2" t="str">
        <f aca="false">IF(H104&gt;=workload_config!$B$2,"Overloaded",IF(H104&lt;workload_config!$B$3,"Underutilized","Optimal"))</f>
        <v>Underutilized</v>
      </c>
      <c r="J104" s="2" t="n">
        <v>1</v>
      </c>
      <c r="K104" s="2" t="n">
        <v>13</v>
      </c>
      <c r="L104" s="2" t="n">
        <v>0</v>
      </c>
      <c r="M104" s="2" t="n">
        <v>0</v>
      </c>
    </row>
    <row r="105" customFormat="false" ht="15" hidden="false" customHeight="false" outlineLevel="0" collapsed="false">
      <c r="A105" s="2" t="s">
        <v>190</v>
      </c>
      <c r="B105" s="2" t="s">
        <v>64</v>
      </c>
      <c r="C105" s="2" t="s">
        <v>155</v>
      </c>
      <c r="D105" s="2" t="s">
        <v>156</v>
      </c>
      <c r="E105" s="2" t="s">
        <v>146</v>
      </c>
      <c r="F105" s="2" t="n">
        <v>19</v>
      </c>
      <c r="G105" s="2" t="n">
        <v>40</v>
      </c>
      <c r="H105" s="2" t="n">
        <f aca="false">ROUND(F105/G105*100,0)</f>
        <v>48</v>
      </c>
      <c r="I105" s="2" t="str">
        <f aca="false">IF(H105&gt;=workload_config!$B$2,"Overloaded",IF(H105&lt;workload_config!$B$3,"Underutilized","Optimal"))</f>
        <v>Underutilized</v>
      </c>
      <c r="J105" s="2" t="n">
        <v>2</v>
      </c>
      <c r="K105" s="2" t="n">
        <v>19</v>
      </c>
      <c r="L105" s="2" t="n">
        <v>0</v>
      </c>
      <c r="M105" s="2" t="n">
        <v>0</v>
      </c>
    </row>
    <row r="106" customFormat="false" ht="15" hidden="false" customHeight="false" outlineLevel="0" collapsed="false">
      <c r="A106" s="2" t="s">
        <v>190</v>
      </c>
      <c r="B106" s="2" t="s">
        <v>64</v>
      </c>
      <c r="C106" s="2" t="s">
        <v>157</v>
      </c>
      <c r="D106" s="2" t="s">
        <v>158</v>
      </c>
      <c r="E106" s="2" t="s">
        <v>146</v>
      </c>
      <c r="F106" s="2" t="n">
        <v>9</v>
      </c>
      <c r="G106" s="2" t="n">
        <v>40</v>
      </c>
      <c r="H106" s="2" t="n">
        <f aca="false">ROUND(F106/G106*100,0)</f>
        <v>23</v>
      </c>
      <c r="I106" s="2" t="str">
        <f aca="false">IF(H106&gt;=workload_config!$B$2,"Overloaded",IF(H106&lt;workload_config!$B$3,"Underutilized","Optimal"))</f>
        <v>Underutilized</v>
      </c>
      <c r="J106" s="2" t="n">
        <v>1</v>
      </c>
      <c r="K106" s="2" t="n">
        <v>9</v>
      </c>
      <c r="L106" s="2" t="n">
        <v>0</v>
      </c>
      <c r="M106" s="2" t="n">
        <v>0</v>
      </c>
    </row>
    <row r="107" customFormat="false" ht="15" hidden="false" customHeight="false" outlineLevel="0" collapsed="false">
      <c r="A107" s="2" t="s">
        <v>190</v>
      </c>
      <c r="B107" s="2" t="s">
        <v>64</v>
      </c>
      <c r="C107" s="2" t="s">
        <v>159</v>
      </c>
      <c r="D107" s="2" t="s">
        <v>160</v>
      </c>
      <c r="E107" s="2" t="s">
        <v>146</v>
      </c>
      <c r="F107" s="2" t="n">
        <v>11</v>
      </c>
      <c r="G107" s="2" t="n">
        <v>40</v>
      </c>
      <c r="H107" s="2" t="n">
        <f aca="false">ROUND(F107/G107*100,0)</f>
        <v>28</v>
      </c>
      <c r="I107" s="2" t="str">
        <f aca="false">IF(H107&gt;=workload_config!$B$2,"Overloaded",IF(H107&lt;workload_config!$B$3,"Underutilized","Optimal"))</f>
        <v>Underutilized</v>
      </c>
      <c r="J107" s="2" t="n">
        <v>1</v>
      </c>
      <c r="K107" s="2" t="n">
        <v>11</v>
      </c>
      <c r="L107" s="2" t="n">
        <v>0</v>
      </c>
      <c r="M107" s="2" t="n">
        <v>0</v>
      </c>
    </row>
    <row r="108" customFormat="false" ht="15" hidden="false" customHeight="false" outlineLevel="0" collapsed="false">
      <c r="A108" s="2" t="s">
        <v>190</v>
      </c>
      <c r="B108" s="2" t="s">
        <v>64</v>
      </c>
      <c r="C108" s="2" t="s">
        <v>161</v>
      </c>
      <c r="D108" s="2" t="s">
        <v>162</v>
      </c>
      <c r="E108" s="2" t="s">
        <v>146</v>
      </c>
      <c r="F108" s="2" t="n">
        <v>14</v>
      </c>
      <c r="G108" s="2" t="n">
        <v>40</v>
      </c>
      <c r="H108" s="2" t="n">
        <f aca="false">ROUND(F108/G108*100,0)</f>
        <v>35</v>
      </c>
      <c r="I108" s="2" t="str">
        <f aca="false">IF(H108&gt;=workload_config!$B$2,"Overloaded",IF(H108&lt;workload_config!$B$3,"Underutilized","Optimal"))</f>
        <v>Underutilized</v>
      </c>
      <c r="J108" s="2" t="n">
        <v>1</v>
      </c>
      <c r="K108" s="2" t="n">
        <v>14</v>
      </c>
      <c r="L108" s="2" t="n">
        <v>0</v>
      </c>
      <c r="M108" s="2" t="n">
        <v>0</v>
      </c>
    </row>
    <row r="109" customFormat="false" ht="15" hidden="false" customHeight="false" outlineLevel="0" collapsed="false">
      <c r="A109" s="2" t="s">
        <v>190</v>
      </c>
      <c r="B109" s="2" t="s">
        <v>64</v>
      </c>
      <c r="C109" s="2" t="s">
        <v>163</v>
      </c>
      <c r="D109" s="2" t="s">
        <v>164</v>
      </c>
      <c r="E109" s="2" t="s">
        <v>146</v>
      </c>
      <c r="F109" s="2" t="n">
        <v>21</v>
      </c>
      <c r="G109" s="2" t="n">
        <v>40</v>
      </c>
      <c r="H109" s="2" t="n">
        <f aca="false">ROUND(F109/G109*100,0)</f>
        <v>53</v>
      </c>
      <c r="I109" s="2" t="str">
        <f aca="false">IF(H109&gt;=workload_config!$B$2,"Overloaded",IF(H109&lt;workload_config!$B$3,"Underutilized","Optimal"))</f>
        <v>Optimal</v>
      </c>
      <c r="J109" s="2" t="n">
        <v>2</v>
      </c>
      <c r="K109" s="2" t="n">
        <v>21</v>
      </c>
      <c r="L109" s="2" t="n">
        <v>0</v>
      </c>
      <c r="M109" s="2" t="n">
        <v>0</v>
      </c>
    </row>
    <row r="110" customFormat="false" ht="15" hidden="false" customHeight="false" outlineLevel="0" collapsed="false">
      <c r="A110" s="2" t="s">
        <v>190</v>
      </c>
      <c r="B110" s="2" t="s">
        <v>64</v>
      </c>
      <c r="C110" s="2" t="s">
        <v>165</v>
      </c>
      <c r="D110" s="2" t="s">
        <v>166</v>
      </c>
      <c r="E110" s="2" t="s">
        <v>146</v>
      </c>
      <c r="F110" s="2" t="n">
        <v>10</v>
      </c>
      <c r="G110" s="2" t="n">
        <v>40</v>
      </c>
      <c r="H110" s="2" t="n">
        <f aca="false">ROUND(F110/G110*100,0)</f>
        <v>25</v>
      </c>
      <c r="I110" s="2" t="str">
        <f aca="false">IF(H110&gt;=workload_config!$B$2,"Overloaded",IF(H110&lt;workload_config!$B$3,"Underutilized","Optimal"))</f>
        <v>Underutilized</v>
      </c>
      <c r="J110" s="2" t="n">
        <v>1</v>
      </c>
      <c r="K110" s="2" t="n">
        <v>10</v>
      </c>
      <c r="L110" s="2" t="n">
        <v>0</v>
      </c>
      <c r="M110" s="2" t="n">
        <v>0</v>
      </c>
    </row>
    <row r="111" customFormat="false" ht="15" hidden="false" customHeight="false" outlineLevel="0" collapsed="false">
      <c r="A111" s="2" t="s">
        <v>190</v>
      </c>
      <c r="B111" s="2" t="s">
        <v>64</v>
      </c>
      <c r="C111" s="2" t="s">
        <v>167</v>
      </c>
      <c r="D111" s="2" t="s">
        <v>168</v>
      </c>
      <c r="E111" s="2" t="s">
        <v>169</v>
      </c>
      <c r="F111" s="2" t="n">
        <v>26</v>
      </c>
      <c r="G111" s="2" t="n">
        <v>40</v>
      </c>
      <c r="H111" s="2" t="n">
        <f aca="false">ROUND(F111/G111*100,0)</f>
        <v>65</v>
      </c>
      <c r="I111" s="2" t="str">
        <f aca="false">IF(H111&gt;=workload_config!$B$2,"Overloaded",IF(H111&lt;workload_config!$B$3,"Underutilized","Optimal"))</f>
        <v>Optimal</v>
      </c>
      <c r="J111" s="2" t="n">
        <v>3</v>
      </c>
      <c r="K111" s="2" t="n">
        <v>8</v>
      </c>
      <c r="L111" s="2" t="n">
        <v>18</v>
      </c>
      <c r="M111" s="2" t="n">
        <v>0</v>
      </c>
    </row>
    <row r="112" customFormat="false" ht="15" hidden="false" customHeight="false" outlineLevel="0" collapsed="false">
      <c r="A112" s="2" t="s">
        <v>190</v>
      </c>
      <c r="B112" s="2" t="s">
        <v>64</v>
      </c>
      <c r="C112" s="2" t="s">
        <v>170</v>
      </c>
      <c r="D112" s="2" t="s">
        <v>171</v>
      </c>
      <c r="E112" s="2" t="s">
        <v>169</v>
      </c>
      <c r="F112" s="2" t="n">
        <v>18</v>
      </c>
      <c r="G112" s="2" t="n">
        <v>40</v>
      </c>
      <c r="H112" s="2" t="n">
        <f aca="false">ROUND(F112/G112*100,0)</f>
        <v>45</v>
      </c>
      <c r="I112" s="2" t="str">
        <f aca="false">IF(H112&gt;=workload_config!$B$2,"Overloaded",IF(H112&lt;workload_config!$B$3,"Underutilized","Optimal"))</f>
        <v>Underutilized</v>
      </c>
      <c r="J112" s="2" t="n">
        <v>2</v>
      </c>
      <c r="K112" s="2" t="n">
        <v>18</v>
      </c>
      <c r="L112" s="2" t="n">
        <v>0</v>
      </c>
      <c r="M112" s="2" t="n">
        <v>0</v>
      </c>
    </row>
    <row r="113" customFormat="false" ht="15" hidden="false" customHeight="false" outlineLevel="0" collapsed="false">
      <c r="A113" s="2" t="s">
        <v>190</v>
      </c>
      <c r="B113" s="2" t="s">
        <v>64</v>
      </c>
      <c r="C113" s="2" t="s">
        <v>172</v>
      </c>
      <c r="D113" s="2" t="s">
        <v>173</v>
      </c>
      <c r="E113" s="2" t="s">
        <v>169</v>
      </c>
      <c r="F113" s="2" t="n">
        <v>9</v>
      </c>
      <c r="G113" s="2" t="n">
        <v>40</v>
      </c>
      <c r="H113" s="2" t="n">
        <f aca="false">ROUND(F113/G113*100,0)</f>
        <v>23</v>
      </c>
      <c r="I113" s="2" t="str">
        <f aca="false">IF(H113&gt;=workload_config!$B$2,"Overloaded",IF(H113&lt;workload_config!$B$3,"Underutilized","Optimal"))</f>
        <v>Underutilized</v>
      </c>
      <c r="J113" s="2" t="n">
        <v>1</v>
      </c>
      <c r="K113" s="2" t="n">
        <v>9</v>
      </c>
      <c r="L113" s="2" t="n">
        <v>0</v>
      </c>
      <c r="M113" s="2" t="n">
        <v>0</v>
      </c>
    </row>
    <row r="114" customFormat="false" ht="15" hidden="false" customHeight="false" outlineLevel="0" collapsed="false">
      <c r="A114" s="2" t="s">
        <v>190</v>
      </c>
      <c r="B114" s="2" t="s">
        <v>64</v>
      </c>
      <c r="C114" s="2" t="s">
        <v>174</v>
      </c>
      <c r="D114" s="2" t="s">
        <v>175</v>
      </c>
      <c r="E114" s="2" t="s">
        <v>169</v>
      </c>
      <c r="F114" s="2" t="n">
        <v>0</v>
      </c>
      <c r="G114" s="2" t="n">
        <v>40</v>
      </c>
      <c r="H114" s="2" t="n">
        <f aca="false">ROUND(F114/G114*100,0)</f>
        <v>0</v>
      </c>
      <c r="I114" s="2" t="str">
        <f aca="false">IF(H114&gt;=workload_config!$B$2,"Overloaded",IF(H114&lt;workload_config!$B$3,"Underutilized","Optimal"))</f>
        <v>Underutilized</v>
      </c>
      <c r="J114" s="2" t="n">
        <v>0</v>
      </c>
      <c r="K114" s="2" t="n">
        <v>0</v>
      </c>
      <c r="L114" s="2" t="n">
        <v>0</v>
      </c>
      <c r="M114" s="2" t="n">
        <v>0</v>
      </c>
    </row>
    <row r="115" customFormat="false" ht="15" hidden="false" customHeight="false" outlineLevel="0" collapsed="false">
      <c r="A115" s="2" t="s">
        <v>190</v>
      </c>
      <c r="B115" s="2" t="s">
        <v>64</v>
      </c>
      <c r="C115" s="2" t="s">
        <v>176</v>
      </c>
      <c r="D115" s="2" t="s">
        <v>177</v>
      </c>
      <c r="E115" s="2" t="s">
        <v>169</v>
      </c>
      <c r="F115" s="2" t="n">
        <v>20</v>
      </c>
      <c r="G115" s="2" t="n">
        <v>40</v>
      </c>
      <c r="H115" s="2" t="n">
        <f aca="false">ROUND(F115/G115*100,0)</f>
        <v>50</v>
      </c>
      <c r="I115" s="2" t="str">
        <f aca="false">IF(H115&gt;=workload_config!$B$2,"Overloaded",IF(H115&lt;workload_config!$B$3,"Underutilized","Optimal"))</f>
        <v>Optimal</v>
      </c>
      <c r="J115" s="2" t="n">
        <v>2</v>
      </c>
      <c r="K115" s="2" t="n">
        <v>20</v>
      </c>
      <c r="L115" s="2" t="n">
        <v>0</v>
      </c>
      <c r="M115" s="2" t="n">
        <v>0</v>
      </c>
    </row>
    <row r="116" customFormat="false" ht="15" hidden="false" customHeight="false" outlineLevel="0" collapsed="false">
      <c r="A116" s="2" t="s">
        <v>190</v>
      </c>
      <c r="B116" s="2" t="s">
        <v>64</v>
      </c>
      <c r="C116" s="2" t="s">
        <v>178</v>
      </c>
      <c r="D116" s="2" t="s">
        <v>179</v>
      </c>
      <c r="E116" s="2" t="s">
        <v>169</v>
      </c>
      <c r="F116" s="2" t="n">
        <v>0</v>
      </c>
      <c r="G116" s="2" t="n">
        <v>40</v>
      </c>
      <c r="H116" s="2" t="n">
        <f aca="false">ROUND(F116/G116*100,0)</f>
        <v>0</v>
      </c>
      <c r="I116" s="2" t="str">
        <f aca="false">IF(H116&gt;=workload_config!$B$2,"Overloaded",IF(H116&lt;workload_config!$B$3,"Underutilized","Optimal"))</f>
        <v>Underutilized</v>
      </c>
      <c r="J116" s="2" t="n">
        <v>0</v>
      </c>
      <c r="K116" s="2" t="n">
        <v>0</v>
      </c>
      <c r="L116" s="2" t="n">
        <v>0</v>
      </c>
      <c r="M116" s="2" t="n">
        <v>0</v>
      </c>
    </row>
    <row r="117" customFormat="false" ht="15" hidden="false" customHeight="false" outlineLevel="0" collapsed="false">
      <c r="A117" s="2" t="s">
        <v>190</v>
      </c>
      <c r="B117" s="2" t="s">
        <v>64</v>
      </c>
      <c r="C117" s="2" t="s">
        <v>180</v>
      </c>
      <c r="D117" s="2" t="s">
        <v>181</v>
      </c>
      <c r="E117" s="2" t="s">
        <v>169</v>
      </c>
      <c r="F117" s="2" t="n">
        <v>0</v>
      </c>
      <c r="G117" s="2" t="n">
        <v>32</v>
      </c>
      <c r="H117" s="2" t="n">
        <f aca="false">ROUND(F117/G117*100,0)</f>
        <v>0</v>
      </c>
      <c r="I117" s="2" t="str">
        <f aca="false">IF(H117&gt;=workload_config!$B$2,"Overloaded",IF(H117&lt;workload_config!$B$3,"Underutilized","Optimal"))</f>
        <v>Underutilized</v>
      </c>
      <c r="J117" s="2" t="n">
        <v>0</v>
      </c>
      <c r="K117" s="2" t="n">
        <v>0</v>
      </c>
      <c r="L117" s="2" t="n">
        <v>0</v>
      </c>
      <c r="M117" s="2" t="n">
        <v>0</v>
      </c>
    </row>
    <row r="118" customFormat="false" ht="15" hidden="false" customHeight="false" outlineLevel="0" collapsed="false">
      <c r="A118" s="2" t="s">
        <v>190</v>
      </c>
      <c r="B118" s="2" t="s">
        <v>64</v>
      </c>
      <c r="C118" s="2" t="s">
        <v>182</v>
      </c>
      <c r="D118" s="2" t="s">
        <v>183</v>
      </c>
      <c r="E118" s="2" t="s">
        <v>169</v>
      </c>
      <c r="F118" s="2" t="n">
        <v>9</v>
      </c>
      <c r="G118" s="2" t="n">
        <v>20</v>
      </c>
      <c r="H118" s="2" t="n">
        <f aca="false">ROUND(F118/G118*100,0)</f>
        <v>45</v>
      </c>
      <c r="I118" s="2" t="str">
        <f aca="false">IF(H118&gt;=workload_config!$B$2,"Overloaded",IF(H118&lt;workload_config!$B$3,"Underutilized","Optimal"))</f>
        <v>Underutilized</v>
      </c>
      <c r="J118" s="2" t="n">
        <v>1</v>
      </c>
      <c r="K118" s="2" t="n">
        <v>9</v>
      </c>
      <c r="L118" s="2" t="n">
        <v>0</v>
      </c>
      <c r="M118" s="2" t="n">
        <v>0</v>
      </c>
    </row>
    <row r="119" customFormat="false" ht="15" hidden="false" customHeight="false" outlineLevel="0" collapsed="false">
      <c r="A119" s="2" t="s">
        <v>190</v>
      </c>
      <c r="B119" s="2" t="s">
        <v>64</v>
      </c>
      <c r="C119" s="2" t="s">
        <v>184</v>
      </c>
      <c r="D119" s="2" t="s">
        <v>185</v>
      </c>
      <c r="E119" s="2" t="s">
        <v>169</v>
      </c>
      <c r="F119" s="2" t="n">
        <v>25</v>
      </c>
      <c r="G119" s="2" t="n">
        <v>32</v>
      </c>
      <c r="H119" s="2" t="n">
        <f aca="false">ROUND(F119/G119*100,0)</f>
        <v>78</v>
      </c>
      <c r="I119" s="2" t="str">
        <f aca="false">IF(H119&gt;=workload_config!$B$2,"Overloaded",IF(H119&lt;workload_config!$B$3,"Underutilized","Optimal"))</f>
        <v>Optimal</v>
      </c>
      <c r="J119" s="2" t="n">
        <v>2</v>
      </c>
      <c r="K119" s="2" t="n">
        <v>25</v>
      </c>
      <c r="L119" s="2" t="n">
        <v>0</v>
      </c>
      <c r="M119" s="2" t="n">
        <v>0</v>
      </c>
    </row>
    <row r="120" customFormat="false" ht="15" hidden="false" customHeight="false" outlineLevel="0" collapsed="false">
      <c r="A120" s="2" t="s">
        <v>190</v>
      </c>
      <c r="B120" s="2" t="s">
        <v>64</v>
      </c>
      <c r="C120" s="2" t="s">
        <v>186</v>
      </c>
      <c r="D120" s="2" t="s">
        <v>187</v>
      </c>
      <c r="E120" s="2" t="s">
        <v>169</v>
      </c>
      <c r="F120" s="2" t="n">
        <v>9</v>
      </c>
      <c r="G120" s="2" t="n">
        <v>40</v>
      </c>
      <c r="H120" s="2" t="n">
        <f aca="false">ROUND(F120/G120*100,0)</f>
        <v>23</v>
      </c>
      <c r="I120" s="2" t="str">
        <f aca="false">IF(H120&gt;=workload_config!$B$2,"Overloaded",IF(H120&lt;workload_config!$B$3,"Underutilized","Optimal"))</f>
        <v>Underutilized</v>
      </c>
      <c r="J120" s="2" t="n">
        <v>1</v>
      </c>
      <c r="K120" s="2" t="n">
        <v>9</v>
      </c>
      <c r="L120" s="2" t="n">
        <v>0</v>
      </c>
      <c r="M120" s="2" t="n">
        <v>0</v>
      </c>
    </row>
    <row r="121" customFormat="false" ht="15" hidden="false" customHeight="false" outlineLevel="0" collapsed="false">
      <c r="A121" s="2" t="s">
        <v>190</v>
      </c>
      <c r="B121" s="2" t="s">
        <v>64</v>
      </c>
      <c r="C121" s="2" t="s">
        <v>188</v>
      </c>
      <c r="D121" s="2" t="s">
        <v>189</v>
      </c>
      <c r="E121" s="2" t="s">
        <v>169</v>
      </c>
      <c r="F121" s="2" t="n">
        <v>12</v>
      </c>
      <c r="G121" s="2" t="n">
        <v>40</v>
      </c>
      <c r="H121" s="2" t="n">
        <f aca="false">ROUND(F121/G121*100,0)</f>
        <v>30</v>
      </c>
      <c r="I121" s="2" t="str">
        <f aca="false">IF(H121&gt;=workload_config!$B$2,"Overloaded",IF(H121&lt;workload_config!$B$3,"Underutilized","Optimal"))</f>
        <v>Underutilized</v>
      </c>
      <c r="J121" s="2" t="n">
        <v>1</v>
      </c>
      <c r="K121" s="2" t="n">
        <v>12</v>
      </c>
      <c r="L121" s="2" t="n">
        <v>0</v>
      </c>
      <c r="M121" s="2" t="n">
        <v>0</v>
      </c>
    </row>
    <row r="122" customFormat="false" ht="15" hidden="false" customHeight="false" outlineLevel="0" collapsed="false">
      <c r="A122" s="2" t="s">
        <v>191</v>
      </c>
      <c r="B122" s="2" t="s">
        <v>64</v>
      </c>
      <c r="C122" s="2" t="s">
        <v>65</v>
      </c>
      <c r="D122" s="2" t="s">
        <v>66</v>
      </c>
      <c r="E122" s="2" t="s">
        <v>67</v>
      </c>
      <c r="F122" s="2" t="n">
        <v>28</v>
      </c>
      <c r="G122" s="2" t="n">
        <v>40</v>
      </c>
      <c r="H122" s="2" t="n">
        <f aca="false">ROUND(F122/G122*100,0)</f>
        <v>70</v>
      </c>
      <c r="I122" s="2" t="str">
        <f aca="false">IF(H122&gt;=workload_config!$B$2,"Overloaded",IF(H122&lt;workload_config!$B$3,"Underutilized","Optimal"))</f>
        <v>Optimal</v>
      </c>
      <c r="J122" s="2" t="n">
        <v>3</v>
      </c>
      <c r="K122" s="2" t="n">
        <v>8</v>
      </c>
      <c r="L122" s="2" t="n">
        <v>20</v>
      </c>
      <c r="M122" s="2" t="n">
        <v>0</v>
      </c>
    </row>
    <row r="123" customFormat="false" ht="15" hidden="false" customHeight="false" outlineLevel="0" collapsed="false">
      <c r="A123" s="2" t="s">
        <v>191</v>
      </c>
      <c r="B123" s="2" t="s">
        <v>64</v>
      </c>
      <c r="C123" s="2" t="s">
        <v>68</v>
      </c>
      <c r="D123" s="2" t="s">
        <v>69</v>
      </c>
      <c r="E123" s="2" t="s">
        <v>67</v>
      </c>
      <c r="F123" s="2" t="n">
        <v>16</v>
      </c>
      <c r="G123" s="2" t="n">
        <v>40</v>
      </c>
      <c r="H123" s="2" t="n">
        <f aca="false">ROUND(F123/G123*100,0)</f>
        <v>40</v>
      </c>
      <c r="I123" s="2" t="str">
        <f aca="false">IF(H123&gt;=workload_config!$B$2,"Overloaded",IF(H123&lt;workload_config!$B$3,"Underutilized","Optimal"))</f>
        <v>Underutilized</v>
      </c>
      <c r="J123" s="2" t="n">
        <v>2</v>
      </c>
      <c r="K123" s="2" t="n">
        <v>16</v>
      </c>
      <c r="L123" s="2" t="n">
        <v>0</v>
      </c>
      <c r="M123" s="2" t="n">
        <v>0</v>
      </c>
    </row>
    <row r="124" customFormat="false" ht="15" hidden="false" customHeight="false" outlineLevel="0" collapsed="false">
      <c r="A124" s="2" t="s">
        <v>191</v>
      </c>
      <c r="B124" s="2" t="s">
        <v>64</v>
      </c>
      <c r="C124" s="2" t="s">
        <v>70</v>
      </c>
      <c r="D124" s="2" t="s">
        <v>71</v>
      </c>
      <c r="E124" s="2" t="s">
        <v>67</v>
      </c>
      <c r="F124" s="2" t="n">
        <v>26</v>
      </c>
      <c r="G124" s="2" t="n">
        <v>40</v>
      </c>
      <c r="H124" s="2" t="n">
        <f aca="false">ROUND(F124/G124*100,0)</f>
        <v>65</v>
      </c>
      <c r="I124" s="2" t="str">
        <f aca="false">IF(H124&gt;=workload_config!$B$2,"Overloaded",IF(H124&lt;workload_config!$B$3,"Underutilized","Optimal"))</f>
        <v>Optimal</v>
      </c>
      <c r="J124" s="2" t="n">
        <v>2</v>
      </c>
      <c r="K124" s="2" t="n">
        <v>26</v>
      </c>
      <c r="L124" s="2" t="n">
        <v>0</v>
      </c>
      <c r="M124" s="2" t="n">
        <v>0</v>
      </c>
    </row>
    <row r="125" customFormat="false" ht="15" hidden="false" customHeight="false" outlineLevel="0" collapsed="false">
      <c r="A125" s="2" t="s">
        <v>191</v>
      </c>
      <c r="B125" s="2" t="s">
        <v>64</v>
      </c>
      <c r="C125" s="2" t="s">
        <v>72</v>
      </c>
      <c r="D125" s="2" t="s">
        <v>73</v>
      </c>
      <c r="E125" s="2" t="s">
        <v>67</v>
      </c>
      <c r="F125" s="2" t="n">
        <v>15</v>
      </c>
      <c r="G125" s="2" t="n">
        <v>40</v>
      </c>
      <c r="H125" s="2" t="n">
        <f aca="false">ROUND(F125/G125*100,0)</f>
        <v>38</v>
      </c>
      <c r="I125" s="2" t="str">
        <f aca="false">IF(H125&gt;=workload_config!$B$2,"Overloaded",IF(H125&lt;workload_config!$B$3,"Underutilized","Optimal"))</f>
        <v>Underutilized</v>
      </c>
      <c r="J125" s="2" t="n">
        <v>2</v>
      </c>
      <c r="K125" s="2" t="n">
        <v>15</v>
      </c>
      <c r="L125" s="2" t="n">
        <v>0</v>
      </c>
      <c r="M125" s="2" t="n">
        <v>0</v>
      </c>
    </row>
    <row r="126" customFormat="false" ht="15" hidden="false" customHeight="false" outlineLevel="0" collapsed="false">
      <c r="A126" s="2" t="s">
        <v>191</v>
      </c>
      <c r="B126" s="2" t="s">
        <v>64</v>
      </c>
      <c r="C126" s="2" t="s">
        <v>74</v>
      </c>
      <c r="D126" s="2" t="s">
        <v>75</v>
      </c>
      <c r="E126" s="2" t="s">
        <v>67</v>
      </c>
      <c r="F126" s="2" t="n">
        <v>20</v>
      </c>
      <c r="G126" s="2" t="n">
        <v>40</v>
      </c>
      <c r="H126" s="2" t="n">
        <f aca="false">ROUND(F126/G126*100,0)</f>
        <v>50</v>
      </c>
      <c r="I126" s="2" t="str">
        <f aca="false">IF(H126&gt;=workload_config!$B$2,"Overloaded",IF(H126&lt;workload_config!$B$3,"Underutilized","Optimal"))</f>
        <v>Optimal</v>
      </c>
      <c r="J126" s="2" t="n">
        <v>2</v>
      </c>
      <c r="K126" s="2" t="n">
        <v>20</v>
      </c>
      <c r="L126" s="2" t="n">
        <v>0</v>
      </c>
      <c r="M126" s="2" t="n">
        <v>0</v>
      </c>
    </row>
    <row r="127" customFormat="false" ht="15" hidden="false" customHeight="false" outlineLevel="0" collapsed="false">
      <c r="A127" s="2" t="s">
        <v>191</v>
      </c>
      <c r="B127" s="2" t="s">
        <v>64</v>
      </c>
      <c r="C127" s="2" t="s">
        <v>76</v>
      </c>
      <c r="D127" s="2" t="s">
        <v>77</v>
      </c>
      <c r="E127" s="2" t="s">
        <v>67</v>
      </c>
      <c r="F127" s="2" t="n">
        <v>20</v>
      </c>
      <c r="G127" s="2" t="n">
        <v>40</v>
      </c>
      <c r="H127" s="2" t="n">
        <f aca="false">ROUND(F127/G127*100,0)</f>
        <v>50</v>
      </c>
      <c r="I127" s="2" t="str">
        <f aca="false">IF(H127&gt;=workload_config!$B$2,"Overloaded",IF(H127&lt;workload_config!$B$3,"Underutilized","Optimal"))</f>
        <v>Optimal</v>
      </c>
      <c r="J127" s="2" t="n">
        <v>2</v>
      </c>
      <c r="K127" s="2" t="n">
        <v>20</v>
      </c>
      <c r="L127" s="2" t="n">
        <v>0</v>
      </c>
      <c r="M127" s="2" t="n">
        <v>0</v>
      </c>
    </row>
    <row r="128" customFormat="false" ht="15" hidden="false" customHeight="false" outlineLevel="0" collapsed="false">
      <c r="A128" s="2" t="s">
        <v>191</v>
      </c>
      <c r="B128" s="2" t="s">
        <v>64</v>
      </c>
      <c r="C128" s="2" t="s">
        <v>78</v>
      </c>
      <c r="D128" s="2" t="s">
        <v>79</v>
      </c>
      <c r="E128" s="2" t="s">
        <v>67</v>
      </c>
      <c r="F128" s="2" t="n">
        <v>20</v>
      </c>
      <c r="G128" s="2" t="n">
        <v>40</v>
      </c>
      <c r="H128" s="2" t="n">
        <f aca="false">ROUND(F128/G128*100,0)</f>
        <v>50</v>
      </c>
      <c r="I128" s="2" t="str">
        <f aca="false">IF(H128&gt;=workload_config!$B$2,"Overloaded",IF(H128&lt;workload_config!$B$3,"Underutilized","Optimal"))</f>
        <v>Optimal</v>
      </c>
      <c r="J128" s="2" t="n">
        <v>2</v>
      </c>
      <c r="K128" s="2" t="n">
        <v>20</v>
      </c>
      <c r="L128" s="2" t="n">
        <v>0</v>
      </c>
      <c r="M128" s="2" t="n">
        <v>0</v>
      </c>
    </row>
    <row r="129" customFormat="false" ht="15" hidden="false" customHeight="false" outlineLevel="0" collapsed="false">
      <c r="A129" s="2" t="s">
        <v>191</v>
      </c>
      <c r="B129" s="2" t="s">
        <v>64</v>
      </c>
      <c r="C129" s="2" t="s">
        <v>80</v>
      </c>
      <c r="D129" s="2" t="s">
        <v>81</v>
      </c>
      <c r="E129" s="2" t="s">
        <v>67</v>
      </c>
      <c r="F129" s="2" t="n">
        <v>11</v>
      </c>
      <c r="G129" s="2" t="n">
        <v>40</v>
      </c>
      <c r="H129" s="2" t="n">
        <f aca="false">ROUND(F129/G129*100,0)</f>
        <v>28</v>
      </c>
      <c r="I129" s="2" t="str">
        <f aca="false">IF(H129&gt;=workload_config!$B$2,"Overloaded",IF(H129&lt;workload_config!$B$3,"Underutilized","Optimal"))</f>
        <v>Underutilized</v>
      </c>
      <c r="J129" s="2" t="n">
        <v>1</v>
      </c>
      <c r="K129" s="2" t="n">
        <v>0</v>
      </c>
      <c r="L129" s="2" t="n">
        <v>11</v>
      </c>
      <c r="M129" s="2" t="n">
        <v>0</v>
      </c>
    </row>
    <row r="130" customFormat="false" ht="15" hidden="false" customHeight="false" outlineLevel="0" collapsed="false">
      <c r="A130" s="2" t="s">
        <v>191</v>
      </c>
      <c r="B130" s="2" t="s">
        <v>64</v>
      </c>
      <c r="C130" s="2" t="s">
        <v>82</v>
      </c>
      <c r="D130" s="2" t="s">
        <v>83</v>
      </c>
      <c r="E130" s="2" t="s">
        <v>67</v>
      </c>
      <c r="F130" s="2" t="n">
        <v>30</v>
      </c>
      <c r="G130" s="2" t="n">
        <v>40</v>
      </c>
      <c r="H130" s="2" t="n">
        <f aca="false">ROUND(F130/G130*100,0)</f>
        <v>75</v>
      </c>
      <c r="I130" s="2" t="str">
        <f aca="false">IF(H130&gt;=workload_config!$B$2,"Overloaded",IF(H130&lt;workload_config!$B$3,"Underutilized","Optimal"))</f>
        <v>Optimal</v>
      </c>
      <c r="J130" s="2" t="n">
        <v>3</v>
      </c>
      <c r="K130" s="2" t="n">
        <v>9</v>
      </c>
      <c r="L130" s="2" t="n">
        <v>21</v>
      </c>
      <c r="M130" s="2" t="n">
        <v>0</v>
      </c>
    </row>
    <row r="131" customFormat="false" ht="15" hidden="false" customHeight="false" outlineLevel="0" collapsed="false">
      <c r="A131" s="2" t="s">
        <v>191</v>
      </c>
      <c r="B131" s="2" t="s">
        <v>64</v>
      </c>
      <c r="C131" s="2" t="s">
        <v>84</v>
      </c>
      <c r="D131" s="2" t="s">
        <v>85</v>
      </c>
      <c r="E131" s="2" t="s">
        <v>67</v>
      </c>
      <c r="F131" s="2" t="n">
        <v>11</v>
      </c>
      <c r="G131" s="2" t="n">
        <v>40</v>
      </c>
      <c r="H131" s="2" t="n">
        <f aca="false">ROUND(F131/G131*100,0)</f>
        <v>28</v>
      </c>
      <c r="I131" s="2" t="str">
        <f aca="false">IF(H131&gt;=workload_config!$B$2,"Overloaded",IF(H131&lt;workload_config!$B$3,"Underutilized","Optimal"))</f>
        <v>Underutilized</v>
      </c>
      <c r="J131" s="2" t="n">
        <v>1</v>
      </c>
      <c r="K131" s="2" t="n">
        <v>11</v>
      </c>
      <c r="L131" s="2" t="n">
        <v>0</v>
      </c>
      <c r="M131" s="2" t="n">
        <v>0</v>
      </c>
    </row>
    <row r="132" customFormat="false" ht="15" hidden="false" customHeight="false" outlineLevel="0" collapsed="false">
      <c r="A132" s="2" t="s">
        <v>191</v>
      </c>
      <c r="B132" s="2" t="s">
        <v>64</v>
      </c>
      <c r="C132" s="2" t="s">
        <v>86</v>
      </c>
      <c r="D132" s="2" t="s">
        <v>87</v>
      </c>
      <c r="E132" s="2" t="s">
        <v>67</v>
      </c>
      <c r="F132" s="2" t="n">
        <v>11</v>
      </c>
      <c r="G132" s="2" t="n">
        <v>40</v>
      </c>
      <c r="H132" s="2" t="n">
        <f aca="false">ROUND(F132/G132*100,0)</f>
        <v>28</v>
      </c>
      <c r="I132" s="2" t="str">
        <f aca="false">IF(H132&gt;=workload_config!$B$2,"Overloaded",IF(H132&lt;workload_config!$B$3,"Underutilized","Optimal"))</f>
        <v>Underutilized</v>
      </c>
      <c r="J132" s="2" t="n">
        <v>1</v>
      </c>
      <c r="K132" s="2" t="n">
        <v>11</v>
      </c>
      <c r="L132" s="2" t="n">
        <v>0</v>
      </c>
      <c r="M132" s="2" t="n">
        <v>0</v>
      </c>
    </row>
    <row r="133" customFormat="false" ht="15" hidden="false" customHeight="false" outlineLevel="0" collapsed="false">
      <c r="A133" s="2" t="s">
        <v>191</v>
      </c>
      <c r="B133" s="2" t="s">
        <v>64</v>
      </c>
      <c r="C133" s="2" t="s">
        <v>88</v>
      </c>
      <c r="D133" s="2" t="s">
        <v>89</v>
      </c>
      <c r="E133" s="2" t="s">
        <v>67</v>
      </c>
      <c r="F133" s="2" t="n">
        <v>8</v>
      </c>
      <c r="G133" s="2" t="n">
        <v>40</v>
      </c>
      <c r="H133" s="2" t="n">
        <f aca="false">ROUND(F133/G133*100,0)</f>
        <v>20</v>
      </c>
      <c r="I133" s="2" t="str">
        <f aca="false">IF(H133&gt;=workload_config!$B$2,"Overloaded",IF(H133&lt;workload_config!$B$3,"Underutilized","Optimal"))</f>
        <v>Underutilized</v>
      </c>
      <c r="J133" s="2" t="n">
        <v>1</v>
      </c>
      <c r="K133" s="2" t="n">
        <v>8</v>
      </c>
      <c r="L133" s="2" t="n">
        <v>0</v>
      </c>
      <c r="M133" s="2" t="n">
        <v>0</v>
      </c>
    </row>
    <row r="134" customFormat="false" ht="15" hidden="false" customHeight="false" outlineLevel="0" collapsed="false">
      <c r="A134" s="2" t="s">
        <v>191</v>
      </c>
      <c r="B134" s="2" t="s">
        <v>64</v>
      </c>
      <c r="C134" s="2" t="s">
        <v>90</v>
      </c>
      <c r="D134" s="2" t="s">
        <v>91</v>
      </c>
      <c r="E134" s="2" t="s">
        <v>67</v>
      </c>
      <c r="F134" s="2" t="n">
        <v>29</v>
      </c>
      <c r="G134" s="2" t="n">
        <v>40</v>
      </c>
      <c r="H134" s="2" t="n">
        <f aca="false">ROUND(F134/G134*100,0)</f>
        <v>73</v>
      </c>
      <c r="I134" s="2" t="str">
        <f aca="false">IF(H134&gt;=workload_config!$B$2,"Overloaded",IF(H134&lt;workload_config!$B$3,"Underutilized","Optimal"))</f>
        <v>Optimal</v>
      </c>
      <c r="J134" s="2" t="n">
        <v>3</v>
      </c>
      <c r="K134" s="2" t="n">
        <v>29</v>
      </c>
      <c r="L134" s="2" t="n">
        <v>0</v>
      </c>
      <c r="M134" s="2" t="n">
        <v>0</v>
      </c>
    </row>
    <row r="135" customFormat="false" ht="15" hidden="false" customHeight="false" outlineLevel="0" collapsed="false">
      <c r="A135" s="2" t="s">
        <v>191</v>
      </c>
      <c r="B135" s="2" t="s">
        <v>64</v>
      </c>
      <c r="C135" s="2" t="s">
        <v>92</v>
      </c>
      <c r="D135" s="2" t="s">
        <v>93</v>
      </c>
      <c r="E135" s="2" t="s">
        <v>67</v>
      </c>
      <c r="F135" s="2" t="n">
        <v>31</v>
      </c>
      <c r="G135" s="2" t="n">
        <v>40</v>
      </c>
      <c r="H135" s="2" t="n">
        <f aca="false">ROUND(F135/G135*100,0)</f>
        <v>78</v>
      </c>
      <c r="I135" s="2" t="str">
        <f aca="false">IF(H135&gt;=workload_config!$B$2,"Overloaded",IF(H135&lt;workload_config!$B$3,"Underutilized","Optimal"))</f>
        <v>Optimal</v>
      </c>
      <c r="J135" s="2" t="n">
        <v>3</v>
      </c>
      <c r="K135" s="2" t="n">
        <v>19</v>
      </c>
      <c r="L135" s="2" t="n">
        <v>12</v>
      </c>
      <c r="M135" s="2" t="n">
        <v>0</v>
      </c>
    </row>
    <row r="136" customFormat="false" ht="15" hidden="false" customHeight="false" outlineLevel="0" collapsed="false">
      <c r="A136" s="2" t="s">
        <v>191</v>
      </c>
      <c r="B136" s="2" t="s">
        <v>64</v>
      </c>
      <c r="C136" s="2" t="s">
        <v>94</v>
      </c>
      <c r="D136" s="2" t="s">
        <v>95</v>
      </c>
      <c r="E136" s="2" t="s">
        <v>96</v>
      </c>
      <c r="F136" s="2" t="n">
        <v>0</v>
      </c>
      <c r="G136" s="2" t="n">
        <v>40</v>
      </c>
      <c r="H136" s="2" t="n">
        <f aca="false">ROUND(F136/G136*100,0)</f>
        <v>0</v>
      </c>
      <c r="I136" s="2" t="str">
        <f aca="false">IF(H136&gt;=workload_config!$B$2,"Overloaded",IF(H136&lt;workload_config!$B$3,"Underutilized","Optimal"))</f>
        <v>Underutilized</v>
      </c>
      <c r="J136" s="2" t="n">
        <v>0</v>
      </c>
      <c r="K136" s="2" t="n">
        <v>0</v>
      </c>
      <c r="L136" s="2" t="n">
        <v>0</v>
      </c>
      <c r="M136" s="2" t="n">
        <v>0</v>
      </c>
    </row>
    <row r="137" customFormat="false" ht="15" hidden="false" customHeight="false" outlineLevel="0" collapsed="false">
      <c r="A137" s="2" t="s">
        <v>191</v>
      </c>
      <c r="B137" s="2" t="s">
        <v>64</v>
      </c>
      <c r="C137" s="2" t="s">
        <v>97</v>
      </c>
      <c r="D137" s="2" t="s">
        <v>98</v>
      </c>
      <c r="E137" s="2" t="s">
        <v>96</v>
      </c>
      <c r="F137" s="2" t="n">
        <v>20</v>
      </c>
      <c r="G137" s="2" t="n">
        <v>40</v>
      </c>
      <c r="H137" s="2" t="n">
        <f aca="false">ROUND(F137/G137*100,0)</f>
        <v>50</v>
      </c>
      <c r="I137" s="2" t="str">
        <f aca="false">IF(H137&gt;=workload_config!$B$2,"Overloaded",IF(H137&lt;workload_config!$B$3,"Underutilized","Optimal"))</f>
        <v>Optimal</v>
      </c>
      <c r="J137" s="2" t="n">
        <v>2</v>
      </c>
      <c r="K137" s="2" t="n">
        <v>20</v>
      </c>
      <c r="L137" s="2" t="n">
        <v>0</v>
      </c>
      <c r="M137" s="2" t="n">
        <v>0</v>
      </c>
    </row>
    <row r="138" customFormat="false" ht="15" hidden="false" customHeight="false" outlineLevel="0" collapsed="false">
      <c r="A138" s="2" t="s">
        <v>191</v>
      </c>
      <c r="B138" s="2" t="s">
        <v>64</v>
      </c>
      <c r="C138" s="2" t="s">
        <v>99</v>
      </c>
      <c r="D138" s="2" t="s">
        <v>100</v>
      </c>
      <c r="E138" s="2" t="s">
        <v>96</v>
      </c>
      <c r="F138" s="2" t="n">
        <v>12</v>
      </c>
      <c r="G138" s="2" t="n">
        <v>40</v>
      </c>
      <c r="H138" s="2" t="n">
        <f aca="false">ROUND(F138/G138*100,0)</f>
        <v>30</v>
      </c>
      <c r="I138" s="2" t="str">
        <f aca="false">IF(H138&gt;=workload_config!$B$2,"Overloaded",IF(H138&lt;workload_config!$B$3,"Underutilized","Optimal"))</f>
        <v>Underutilized</v>
      </c>
      <c r="J138" s="2" t="n">
        <v>1</v>
      </c>
      <c r="K138" s="2" t="n">
        <v>12</v>
      </c>
      <c r="L138" s="2" t="n">
        <v>0</v>
      </c>
      <c r="M138" s="2" t="n">
        <v>0</v>
      </c>
    </row>
    <row r="139" customFormat="false" ht="15" hidden="false" customHeight="false" outlineLevel="0" collapsed="false">
      <c r="A139" s="2" t="s">
        <v>191</v>
      </c>
      <c r="B139" s="2" t="s">
        <v>64</v>
      </c>
      <c r="C139" s="2" t="s">
        <v>101</v>
      </c>
      <c r="D139" s="2" t="s">
        <v>102</v>
      </c>
      <c r="E139" s="2" t="s">
        <v>96</v>
      </c>
      <c r="F139" s="2" t="n">
        <v>29</v>
      </c>
      <c r="G139" s="2" t="n">
        <v>40</v>
      </c>
      <c r="H139" s="2" t="n">
        <f aca="false">ROUND(F139/G139*100,0)</f>
        <v>73</v>
      </c>
      <c r="I139" s="2" t="str">
        <f aca="false">IF(H139&gt;=workload_config!$B$2,"Overloaded",IF(H139&lt;workload_config!$B$3,"Underutilized","Optimal"))</f>
        <v>Optimal</v>
      </c>
      <c r="J139" s="2" t="n">
        <v>3</v>
      </c>
      <c r="K139" s="2" t="n">
        <v>29</v>
      </c>
      <c r="L139" s="2" t="n">
        <v>0</v>
      </c>
      <c r="M139" s="2" t="n">
        <v>0</v>
      </c>
    </row>
    <row r="140" customFormat="false" ht="15" hidden="false" customHeight="false" outlineLevel="0" collapsed="false">
      <c r="A140" s="2" t="s">
        <v>191</v>
      </c>
      <c r="B140" s="2" t="s">
        <v>64</v>
      </c>
      <c r="C140" s="2" t="s">
        <v>103</v>
      </c>
      <c r="D140" s="2" t="s">
        <v>104</v>
      </c>
      <c r="E140" s="2" t="s">
        <v>96</v>
      </c>
      <c r="F140" s="2" t="n">
        <v>27</v>
      </c>
      <c r="G140" s="2" t="n">
        <v>40</v>
      </c>
      <c r="H140" s="2" t="n">
        <f aca="false">ROUND(F140/G140*100,0)</f>
        <v>68</v>
      </c>
      <c r="I140" s="2" t="str">
        <f aca="false">IF(H140&gt;=workload_config!$B$2,"Overloaded",IF(H140&lt;workload_config!$B$3,"Underutilized","Optimal"))</f>
        <v>Optimal</v>
      </c>
      <c r="J140" s="2" t="n">
        <v>3</v>
      </c>
      <c r="K140" s="2" t="n">
        <v>9</v>
      </c>
      <c r="L140" s="2" t="n">
        <v>18</v>
      </c>
      <c r="M140" s="2" t="n">
        <v>0</v>
      </c>
    </row>
    <row r="141" customFormat="false" ht="15" hidden="false" customHeight="false" outlineLevel="0" collapsed="false">
      <c r="A141" s="2" t="s">
        <v>191</v>
      </c>
      <c r="B141" s="2" t="s">
        <v>64</v>
      </c>
      <c r="C141" s="2" t="s">
        <v>105</v>
      </c>
      <c r="D141" s="2" t="s">
        <v>106</v>
      </c>
      <c r="E141" s="2" t="s">
        <v>96</v>
      </c>
      <c r="F141" s="2" t="n">
        <v>31</v>
      </c>
      <c r="G141" s="2" t="n">
        <v>40</v>
      </c>
      <c r="H141" s="2" t="n">
        <f aca="false">ROUND(F141/G141*100,0)</f>
        <v>78</v>
      </c>
      <c r="I141" s="2" t="str">
        <f aca="false">IF(H141&gt;=workload_config!$B$2,"Overloaded",IF(H141&lt;workload_config!$B$3,"Underutilized","Optimal"))</f>
        <v>Optimal</v>
      </c>
      <c r="J141" s="2" t="n">
        <v>3</v>
      </c>
      <c r="K141" s="2" t="n">
        <v>31</v>
      </c>
      <c r="L141" s="2" t="n">
        <v>0</v>
      </c>
      <c r="M141" s="2" t="n">
        <v>0</v>
      </c>
    </row>
    <row r="142" customFormat="false" ht="15" hidden="false" customHeight="false" outlineLevel="0" collapsed="false">
      <c r="A142" s="2" t="s">
        <v>191</v>
      </c>
      <c r="B142" s="2" t="s">
        <v>64</v>
      </c>
      <c r="C142" s="2" t="s">
        <v>107</v>
      </c>
      <c r="D142" s="2" t="s">
        <v>108</v>
      </c>
      <c r="E142" s="2" t="s">
        <v>96</v>
      </c>
      <c r="F142" s="2" t="n">
        <v>0</v>
      </c>
      <c r="G142" s="2" t="n">
        <v>40</v>
      </c>
      <c r="H142" s="2" t="n">
        <f aca="false">ROUND(F142/G142*100,0)</f>
        <v>0</v>
      </c>
      <c r="I142" s="2" t="str">
        <f aca="false">IF(H142&gt;=workload_config!$B$2,"Overloaded",IF(H142&lt;workload_config!$B$3,"Underutilized","Optimal"))</f>
        <v>Underutilized</v>
      </c>
      <c r="J142" s="2" t="n">
        <v>0</v>
      </c>
      <c r="K142" s="2" t="n">
        <v>0</v>
      </c>
      <c r="L142" s="2" t="n">
        <v>0</v>
      </c>
      <c r="M142" s="2" t="n">
        <v>0</v>
      </c>
    </row>
    <row r="143" customFormat="false" ht="15" hidden="false" customHeight="false" outlineLevel="0" collapsed="false">
      <c r="A143" s="2" t="s">
        <v>191</v>
      </c>
      <c r="B143" s="2" t="s">
        <v>64</v>
      </c>
      <c r="C143" s="2" t="s">
        <v>109</v>
      </c>
      <c r="D143" s="2" t="s">
        <v>110</v>
      </c>
      <c r="E143" s="2" t="s">
        <v>96</v>
      </c>
      <c r="F143" s="2" t="n">
        <v>38</v>
      </c>
      <c r="G143" s="2" t="n">
        <v>40</v>
      </c>
      <c r="H143" s="2" t="n">
        <f aca="false">ROUND(F143/G143*100,0)</f>
        <v>95</v>
      </c>
      <c r="I143" s="2" t="str">
        <f aca="false">IF(H143&gt;=workload_config!$B$2,"Overloaded",IF(H143&lt;workload_config!$B$3,"Underutilized","Optimal"))</f>
        <v>Overloaded</v>
      </c>
      <c r="J143" s="2" t="n">
        <v>4</v>
      </c>
      <c r="K143" s="2" t="n">
        <v>38</v>
      </c>
      <c r="L143" s="2" t="n">
        <v>0</v>
      </c>
      <c r="M143" s="2" t="n">
        <v>0</v>
      </c>
    </row>
    <row r="144" customFormat="false" ht="15" hidden="false" customHeight="false" outlineLevel="0" collapsed="false">
      <c r="A144" s="2" t="s">
        <v>191</v>
      </c>
      <c r="B144" s="2" t="s">
        <v>64</v>
      </c>
      <c r="C144" s="2" t="s">
        <v>111</v>
      </c>
      <c r="D144" s="2" t="s">
        <v>112</v>
      </c>
      <c r="E144" s="2" t="s">
        <v>96</v>
      </c>
      <c r="F144" s="2" t="n">
        <v>19</v>
      </c>
      <c r="G144" s="2" t="n">
        <v>40</v>
      </c>
      <c r="H144" s="2" t="n">
        <f aca="false">ROUND(F144/G144*100,0)</f>
        <v>48</v>
      </c>
      <c r="I144" s="2" t="str">
        <f aca="false">IF(H144&gt;=workload_config!$B$2,"Overloaded",IF(H144&lt;workload_config!$B$3,"Underutilized","Optimal"))</f>
        <v>Underutilized</v>
      </c>
      <c r="J144" s="2" t="n">
        <v>2</v>
      </c>
      <c r="K144" s="2" t="n">
        <v>19</v>
      </c>
      <c r="L144" s="2" t="n">
        <v>0</v>
      </c>
      <c r="M144" s="2" t="n">
        <v>0</v>
      </c>
    </row>
    <row r="145" customFormat="false" ht="15" hidden="false" customHeight="false" outlineLevel="0" collapsed="false">
      <c r="A145" s="2" t="s">
        <v>191</v>
      </c>
      <c r="B145" s="2" t="s">
        <v>64</v>
      </c>
      <c r="C145" s="2" t="s">
        <v>113</v>
      </c>
      <c r="D145" s="2" t="s">
        <v>114</v>
      </c>
      <c r="E145" s="2" t="s">
        <v>96</v>
      </c>
      <c r="F145" s="2" t="n">
        <v>7</v>
      </c>
      <c r="G145" s="2" t="n">
        <v>40</v>
      </c>
      <c r="H145" s="2" t="n">
        <f aca="false">ROUND(F145/G145*100,0)</f>
        <v>18</v>
      </c>
      <c r="I145" s="2" t="str">
        <f aca="false">IF(H145&gt;=workload_config!$B$2,"Overloaded",IF(H145&lt;workload_config!$B$3,"Underutilized","Optimal"))</f>
        <v>Underutilized</v>
      </c>
      <c r="J145" s="2" t="n">
        <v>1</v>
      </c>
      <c r="K145" s="2" t="n">
        <v>7</v>
      </c>
      <c r="L145" s="2" t="n">
        <v>0</v>
      </c>
      <c r="M145" s="2" t="n">
        <v>0</v>
      </c>
    </row>
    <row r="146" customFormat="false" ht="15" hidden="false" customHeight="false" outlineLevel="0" collapsed="false">
      <c r="A146" s="2" t="s">
        <v>191</v>
      </c>
      <c r="B146" s="2" t="s">
        <v>64</v>
      </c>
      <c r="C146" s="2" t="s">
        <v>115</v>
      </c>
      <c r="D146" s="2" t="s">
        <v>116</v>
      </c>
      <c r="E146" s="2" t="s">
        <v>96</v>
      </c>
      <c r="F146" s="2" t="n">
        <v>18</v>
      </c>
      <c r="G146" s="2" t="n">
        <v>40</v>
      </c>
      <c r="H146" s="2" t="n">
        <f aca="false">ROUND(F146/G146*100,0)</f>
        <v>45</v>
      </c>
      <c r="I146" s="2" t="str">
        <f aca="false">IF(H146&gt;=workload_config!$B$2,"Overloaded",IF(H146&lt;workload_config!$B$3,"Underutilized","Optimal"))</f>
        <v>Underutilized</v>
      </c>
      <c r="J146" s="2" t="n">
        <v>2</v>
      </c>
      <c r="K146" s="2" t="n">
        <v>18</v>
      </c>
      <c r="L146" s="2" t="n">
        <v>0</v>
      </c>
      <c r="M146" s="2" t="n">
        <v>0</v>
      </c>
    </row>
    <row r="147" customFormat="false" ht="15" hidden="false" customHeight="false" outlineLevel="0" collapsed="false">
      <c r="A147" s="2" t="s">
        <v>191</v>
      </c>
      <c r="B147" s="2" t="s">
        <v>64</v>
      </c>
      <c r="C147" s="2" t="s">
        <v>117</v>
      </c>
      <c r="D147" s="2" t="s">
        <v>118</v>
      </c>
      <c r="E147" s="2" t="s">
        <v>119</v>
      </c>
      <c r="F147" s="2" t="n">
        <v>9</v>
      </c>
      <c r="G147" s="2" t="n">
        <v>40</v>
      </c>
      <c r="H147" s="2" t="n">
        <f aca="false">ROUND(F147/G147*100,0)</f>
        <v>23</v>
      </c>
      <c r="I147" s="2" t="str">
        <f aca="false">IF(H147&gt;=workload_config!$B$2,"Overloaded",IF(H147&lt;workload_config!$B$3,"Underutilized","Optimal"))</f>
        <v>Underutilized</v>
      </c>
      <c r="J147" s="2" t="n">
        <v>1</v>
      </c>
      <c r="K147" s="2" t="n">
        <v>9</v>
      </c>
      <c r="L147" s="2" t="n">
        <v>0</v>
      </c>
      <c r="M147" s="2" t="n">
        <v>0</v>
      </c>
    </row>
    <row r="148" customFormat="false" ht="15" hidden="false" customHeight="false" outlineLevel="0" collapsed="false">
      <c r="A148" s="2" t="s">
        <v>191</v>
      </c>
      <c r="B148" s="2" t="s">
        <v>64</v>
      </c>
      <c r="C148" s="2" t="s">
        <v>120</v>
      </c>
      <c r="D148" s="2" t="s">
        <v>121</v>
      </c>
      <c r="E148" s="2" t="s">
        <v>119</v>
      </c>
      <c r="F148" s="2" t="n">
        <v>11</v>
      </c>
      <c r="G148" s="2" t="n">
        <v>40</v>
      </c>
      <c r="H148" s="2" t="n">
        <f aca="false">ROUND(F148/G148*100,0)</f>
        <v>28</v>
      </c>
      <c r="I148" s="2" t="str">
        <f aca="false">IF(H148&gt;=workload_config!$B$2,"Overloaded",IF(H148&lt;workload_config!$B$3,"Underutilized","Optimal"))</f>
        <v>Underutilized</v>
      </c>
      <c r="J148" s="2" t="n">
        <v>1</v>
      </c>
      <c r="K148" s="2" t="n">
        <v>11</v>
      </c>
      <c r="L148" s="2" t="n">
        <v>0</v>
      </c>
      <c r="M148" s="2" t="n">
        <v>0</v>
      </c>
    </row>
    <row r="149" customFormat="false" ht="15" hidden="false" customHeight="false" outlineLevel="0" collapsed="false">
      <c r="A149" s="2" t="s">
        <v>191</v>
      </c>
      <c r="B149" s="2" t="s">
        <v>64</v>
      </c>
      <c r="C149" s="2" t="s">
        <v>122</v>
      </c>
      <c r="D149" s="2" t="s">
        <v>123</v>
      </c>
      <c r="E149" s="2" t="s">
        <v>119</v>
      </c>
      <c r="F149" s="2" t="n">
        <v>17</v>
      </c>
      <c r="G149" s="2" t="n">
        <v>40</v>
      </c>
      <c r="H149" s="2" t="n">
        <f aca="false">ROUND(F149/G149*100,0)</f>
        <v>43</v>
      </c>
      <c r="I149" s="2" t="str">
        <f aca="false">IF(H149&gt;=workload_config!$B$2,"Overloaded",IF(H149&lt;workload_config!$B$3,"Underutilized","Optimal"))</f>
        <v>Underutilized</v>
      </c>
      <c r="J149" s="2" t="n">
        <v>2</v>
      </c>
      <c r="K149" s="2" t="n">
        <v>7</v>
      </c>
      <c r="L149" s="2" t="n">
        <v>10</v>
      </c>
      <c r="M149" s="2" t="n">
        <v>0</v>
      </c>
    </row>
    <row r="150" customFormat="false" ht="15" hidden="false" customHeight="false" outlineLevel="0" collapsed="false">
      <c r="A150" s="2" t="s">
        <v>191</v>
      </c>
      <c r="B150" s="2" t="s">
        <v>64</v>
      </c>
      <c r="C150" s="2" t="s">
        <v>124</v>
      </c>
      <c r="D150" s="2" t="s">
        <v>125</v>
      </c>
      <c r="E150" s="2" t="s">
        <v>119</v>
      </c>
      <c r="F150" s="2" t="n">
        <v>10</v>
      </c>
      <c r="G150" s="2" t="n">
        <v>40</v>
      </c>
      <c r="H150" s="2" t="n">
        <f aca="false">ROUND(F150/G150*100,0)</f>
        <v>25</v>
      </c>
      <c r="I150" s="2" t="str">
        <f aca="false">IF(H150&gt;=workload_config!$B$2,"Overloaded",IF(H150&lt;workload_config!$B$3,"Underutilized","Optimal"))</f>
        <v>Underutilized</v>
      </c>
      <c r="J150" s="2" t="n">
        <v>1</v>
      </c>
      <c r="K150" s="2" t="n">
        <v>10</v>
      </c>
      <c r="L150" s="2" t="n">
        <v>0</v>
      </c>
      <c r="M150" s="2" t="n">
        <v>0</v>
      </c>
    </row>
    <row r="151" customFormat="false" ht="15" hidden="false" customHeight="false" outlineLevel="0" collapsed="false">
      <c r="A151" s="2" t="s">
        <v>191</v>
      </c>
      <c r="B151" s="2" t="s">
        <v>64</v>
      </c>
      <c r="C151" s="2" t="s">
        <v>126</v>
      </c>
      <c r="D151" s="2" t="s">
        <v>127</v>
      </c>
      <c r="E151" s="2" t="s">
        <v>119</v>
      </c>
      <c r="F151" s="2" t="n">
        <v>29</v>
      </c>
      <c r="G151" s="2" t="n">
        <v>40</v>
      </c>
      <c r="H151" s="2" t="n">
        <f aca="false">ROUND(F151/G151*100,0)</f>
        <v>73</v>
      </c>
      <c r="I151" s="2" t="str">
        <f aca="false">IF(H151&gt;=workload_config!$B$2,"Overloaded",IF(H151&lt;workload_config!$B$3,"Underutilized","Optimal"))</f>
        <v>Optimal</v>
      </c>
      <c r="J151" s="2" t="n">
        <v>3</v>
      </c>
      <c r="K151" s="2" t="n">
        <v>29</v>
      </c>
      <c r="L151" s="2" t="n">
        <v>0</v>
      </c>
      <c r="M151" s="2" t="n">
        <v>0</v>
      </c>
    </row>
    <row r="152" customFormat="false" ht="15" hidden="false" customHeight="false" outlineLevel="0" collapsed="false">
      <c r="A152" s="2" t="s">
        <v>191</v>
      </c>
      <c r="B152" s="2" t="s">
        <v>64</v>
      </c>
      <c r="C152" s="2" t="s">
        <v>128</v>
      </c>
      <c r="D152" s="2" t="s">
        <v>129</v>
      </c>
      <c r="E152" s="2" t="s">
        <v>119</v>
      </c>
      <c r="F152" s="2" t="n">
        <v>24</v>
      </c>
      <c r="G152" s="2" t="n">
        <v>40</v>
      </c>
      <c r="H152" s="2" t="n">
        <f aca="false">ROUND(F152/G152*100,0)</f>
        <v>60</v>
      </c>
      <c r="I152" s="2" t="str">
        <f aca="false">IF(H152&gt;=workload_config!$B$2,"Overloaded",IF(H152&lt;workload_config!$B$3,"Underutilized","Optimal"))</f>
        <v>Optimal</v>
      </c>
      <c r="J152" s="2" t="n">
        <v>2</v>
      </c>
      <c r="K152" s="2" t="n">
        <v>24</v>
      </c>
      <c r="L152" s="2" t="n">
        <v>0</v>
      </c>
      <c r="M152" s="2" t="n">
        <v>0</v>
      </c>
    </row>
    <row r="153" customFormat="false" ht="15" hidden="false" customHeight="false" outlineLevel="0" collapsed="false">
      <c r="A153" s="2" t="s">
        <v>191</v>
      </c>
      <c r="B153" s="2" t="s">
        <v>64</v>
      </c>
      <c r="C153" s="2" t="s">
        <v>130</v>
      </c>
      <c r="D153" s="2" t="s">
        <v>131</v>
      </c>
      <c r="E153" s="2" t="s">
        <v>119</v>
      </c>
      <c r="F153" s="2" t="n">
        <v>12</v>
      </c>
      <c r="G153" s="2" t="n">
        <v>40</v>
      </c>
      <c r="H153" s="2" t="n">
        <f aca="false">ROUND(F153/G153*100,0)</f>
        <v>30</v>
      </c>
      <c r="I153" s="2" t="str">
        <f aca="false">IF(H153&gt;=workload_config!$B$2,"Overloaded",IF(H153&lt;workload_config!$B$3,"Underutilized","Optimal"))</f>
        <v>Underutilized</v>
      </c>
      <c r="J153" s="2" t="n">
        <v>1</v>
      </c>
      <c r="K153" s="2" t="n">
        <v>12</v>
      </c>
      <c r="L153" s="2" t="n">
        <v>0</v>
      </c>
      <c r="M153" s="2" t="n">
        <v>0</v>
      </c>
    </row>
    <row r="154" customFormat="false" ht="15" hidden="false" customHeight="false" outlineLevel="0" collapsed="false">
      <c r="A154" s="2" t="s">
        <v>191</v>
      </c>
      <c r="B154" s="2" t="s">
        <v>64</v>
      </c>
      <c r="C154" s="2" t="s">
        <v>132</v>
      </c>
      <c r="D154" s="2" t="s">
        <v>133</v>
      </c>
      <c r="E154" s="2" t="s">
        <v>119</v>
      </c>
      <c r="F154" s="2" t="n">
        <v>10</v>
      </c>
      <c r="G154" s="2" t="n">
        <v>40</v>
      </c>
      <c r="H154" s="2" t="n">
        <f aca="false">ROUND(F154/G154*100,0)</f>
        <v>25</v>
      </c>
      <c r="I154" s="2" t="str">
        <f aca="false">IF(H154&gt;=workload_config!$B$2,"Overloaded",IF(H154&lt;workload_config!$B$3,"Underutilized","Optimal"))</f>
        <v>Underutilized</v>
      </c>
      <c r="J154" s="2" t="n">
        <v>1</v>
      </c>
      <c r="K154" s="2" t="n">
        <v>10</v>
      </c>
      <c r="L154" s="2" t="n">
        <v>0</v>
      </c>
      <c r="M154" s="2" t="n">
        <v>0</v>
      </c>
    </row>
    <row r="155" customFormat="false" ht="15" hidden="false" customHeight="false" outlineLevel="0" collapsed="false">
      <c r="A155" s="2" t="s">
        <v>191</v>
      </c>
      <c r="B155" s="2" t="s">
        <v>64</v>
      </c>
      <c r="C155" s="2" t="s">
        <v>134</v>
      </c>
      <c r="D155" s="2" t="s">
        <v>135</v>
      </c>
      <c r="E155" s="2" t="s">
        <v>119</v>
      </c>
      <c r="F155" s="2" t="n">
        <v>8</v>
      </c>
      <c r="G155" s="2" t="n">
        <v>40</v>
      </c>
      <c r="H155" s="2" t="n">
        <f aca="false">ROUND(F155/G155*100,0)</f>
        <v>20</v>
      </c>
      <c r="I155" s="2" t="str">
        <f aca="false">IF(H155&gt;=workload_config!$B$2,"Overloaded",IF(H155&lt;workload_config!$B$3,"Underutilized","Optimal"))</f>
        <v>Underutilized</v>
      </c>
      <c r="J155" s="2" t="n">
        <v>1</v>
      </c>
      <c r="K155" s="2" t="n">
        <v>8</v>
      </c>
      <c r="L155" s="2" t="n">
        <v>0</v>
      </c>
      <c r="M155" s="2" t="n">
        <v>0</v>
      </c>
    </row>
    <row r="156" customFormat="false" ht="15" hidden="false" customHeight="false" outlineLevel="0" collapsed="false">
      <c r="A156" s="2" t="s">
        <v>191</v>
      </c>
      <c r="B156" s="2" t="s">
        <v>64</v>
      </c>
      <c r="C156" s="2" t="s">
        <v>136</v>
      </c>
      <c r="D156" s="2" t="s">
        <v>137</v>
      </c>
      <c r="E156" s="2" t="s">
        <v>119</v>
      </c>
      <c r="F156" s="2" t="n">
        <v>25</v>
      </c>
      <c r="G156" s="2" t="n">
        <v>40</v>
      </c>
      <c r="H156" s="2" t="n">
        <f aca="false">ROUND(F156/G156*100,0)</f>
        <v>63</v>
      </c>
      <c r="I156" s="2" t="str">
        <f aca="false">IF(H156&gt;=workload_config!$B$2,"Overloaded",IF(H156&lt;workload_config!$B$3,"Underutilized","Optimal"))</f>
        <v>Optimal</v>
      </c>
      <c r="J156" s="2" t="n">
        <v>2</v>
      </c>
      <c r="K156" s="2" t="n">
        <v>25</v>
      </c>
      <c r="L156" s="2" t="n">
        <v>0</v>
      </c>
      <c r="M156" s="2" t="n">
        <v>0</v>
      </c>
    </row>
    <row r="157" customFormat="false" ht="15" hidden="false" customHeight="false" outlineLevel="0" collapsed="false">
      <c r="A157" s="2" t="s">
        <v>191</v>
      </c>
      <c r="B157" s="2" t="s">
        <v>64</v>
      </c>
      <c r="C157" s="2" t="s">
        <v>138</v>
      </c>
      <c r="D157" s="2" t="s">
        <v>139</v>
      </c>
      <c r="E157" s="2" t="s">
        <v>119</v>
      </c>
      <c r="F157" s="2" t="n">
        <v>14</v>
      </c>
      <c r="G157" s="2" t="n">
        <v>40</v>
      </c>
      <c r="H157" s="2" t="n">
        <f aca="false">ROUND(F157/G157*100,0)</f>
        <v>35</v>
      </c>
      <c r="I157" s="2" t="str">
        <f aca="false">IF(H157&gt;=workload_config!$B$2,"Overloaded",IF(H157&lt;workload_config!$B$3,"Underutilized","Optimal"))</f>
        <v>Underutilized</v>
      </c>
      <c r="J157" s="2" t="n">
        <v>1</v>
      </c>
      <c r="K157" s="2" t="n">
        <v>14</v>
      </c>
      <c r="L157" s="2" t="n">
        <v>0</v>
      </c>
      <c r="M157" s="2" t="n">
        <v>0</v>
      </c>
    </row>
    <row r="158" customFormat="false" ht="15" hidden="false" customHeight="false" outlineLevel="0" collapsed="false">
      <c r="A158" s="2" t="s">
        <v>191</v>
      </c>
      <c r="B158" s="2" t="s">
        <v>64</v>
      </c>
      <c r="C158" s="2" t="s">
        <v>140</v>
      </c>
      <c r="D158" s="2" t="s">
        <v>141</v>
      </c>
      <c r="E158" s="2" t="s">
        <v>119</v>
      </c>
      <c r="F158" s="2" t="n">
        <v>13</v>
      </c>
      <c r="G158" s="2" t="n">
        <v>40</v>
      </c>
      <c r="H158" s="2" t="n">
        <f aca="false">ROUND(F158/G158*100,0)</f>
        <v>33</v>
      </c>
      <c r="I158" s="2" t="str">
        <f aca="false">IF(H158&gt;=workload_config!$B$2,"Overloaded",IF(H158&lt;workload_config!$B$3,"Underutilized","Optimal"))</f>
        <v>Underutilized</v>
      </c>
      <c r="J158" s="2" t="n">
        <v>1</v>
      </c>
      <c r="K158" s="2" t="n">
        <v>13</v>
      </c>
      <c r="L158" s="2" t="n">
        <v>0</v>
      </c>
      <c r="M158" s="2" t="n">
        <v>0</v>
      </c>
    </row>
    <row r="159" customFormat="false" ht="15" hidden="false" customHeight="false" outlineLevel="0" collapsed="false">
      <c r="A159" s="2" t="s">
        <v>191</v>
      </c>
      <c r="B159" s="2" t="s">
        <v>64</v>
      </c>
      <c r="C159" s="2" t="s">
        <v>142</v>
      </c>
      <c r="D159" s="2" t="s">
        <v>143</v>
      </c>
      <c r="E159" s="2" t="s">
        <v>119</v>
      </c>
      <c r="F159" s="2" t="n">
        <v>16</v>
      </c>
      <c r="G159" s="2" t="n">
        <v>40</v>
      </c>
      <c r="H159" s="2" t="n">
        <f aca="false">ROUND(F159/G159*100,0)</f>
        <v>40</v>
      </c>
      <c r="I159" s="2" t="str">
        <f aca="false">IF(H159&gt;=workload_config!$B$2,"Overloaded",IF(H159&lt;workload_config!$B$3,"Underutilized","Optimal"))</f>
        <v>Underutilized</v>
      </c>
      <c r="J159" s="2" t="n">
        <v>2</v>
      </c>
      <c r="K159" s="2" t="n">
        <v>5</v>
      </c>
      <c r="L159" s="2" t="n">
        <v>11</v>
      </c>
      <c r="M159" s="2" t="n">
        <v>0</v>
      </c>
    </row>
    <row r="160" customFormat="false" ht="15" hidden="false" customHeight="false" outlineLevel="0" collapsed="false">
      <c r="A160" s="2" t="s">
        <v>191</v>
      </c>
      <c r="B160" s="2" t="s">
        <v>64</v>
      </c>
      <c r="C160" s="2" t="s">
        <v>144</v>
      </c>
      <c r="D160" s="2" t="s">
        <v>145</v>
      </c>
      <c r="E160" s="2" t="s">
        <v>146</v>
      </c>
      <c r="F160" s="2" t="n">
        <v>0</v>
      </c>
      <c r="G160" s="2" t="n">
        <v>40</v>
      </c>
      <c r="H160" s="2" t="n">
        <f aca="false">ROUND(F160/G160*100,0)</f>
        <v>0</v>
      </c>
      <c r="I160" s="2" t="str">
        <f aca="false">IF(H160&gt;=workload_config!$B$2,"Overloaded",IF(H160&lt;workload_config!$B$3,"Underutilized","Optimal"))</f>
        <v>Underutilized</v>
      </c>
      <c r="J160" s="2" t="n">
        <v>0</v>
      </c>
      <c r="K160" s="2" t="n">
        <v>0</v>
      </c>
      <c r="L160" s="2" t="n">
        <v>0</v>
      </c>
      <c r="M160" s="2" t="n">
        <v>0</v>
      </c>
    </row>
    <row r="161" customFormat="false" ht="15" hidden="false" customHeight="false" outlineLevel="0" collapsed="false">
      <c r="A161" s="2" t="s">
        <v>191</v>
      </c>
      <c r="B161" s="2" t="s">
        <v>64</v>
      </c>
      <c r="C161" s="2" t="s">
        <v>147</v>
      </c>
      <c r="D161" s="2" t="s">
        <v>148</v>
      </c>
      <c r="E161" s="2" t="s">
        <v>146</v>
      </c>
      <c r="F161" s="2" t="n">
        <v>11</v>
      </c>
      <c r="G161" s="2" t="n">
        <v>40</v>
      </c>
      <c r="H161" s="2" t="n">
        <f aca="false">ROUND(F161/G161*100,0)</f>
        <v>28</v>
      </c>
      <c r="I161" s="2" t="str">
        <f aca="false">IF(H161&gt;=workload_config!$B$2,"Overloaded",IF(H161&lt;workload_config!$B$3,"Underutilized","Optimal"))</f>
        <v>Underutilized</v>
      </c>
      <c r="J161" s="2" t="n">
        <v>1</v>
      </c>
      <c r="K161" s="2" t="n">
        <v>0</v>
      </c>
      <c r="L161" s="2" t="n">
        <v>11</v>
      </c>
      <c r="M161" s="2" t="n">
        <v>0</v>
      </c>
    </row>
    <row r="162" customFormat="false" ht="15" hidden="false" customHeight="false" outlineLevel="0" collapsed="false">
      <c r="A162" s="2" t="s">
        <v>191</v>
      </c>
      <c r="B162" s="2" t="s">
        <v>64</v>
      </c>
      <c r="C162" s="2" t="s">
        <v>149</v>
      </c>
      <c r="D162" s="2" t="s">
        <v>150</v>
      </c>
      <c r="E162" s="2" t="s">
        <v>146</v>
      </c>
      <c r="F162" s="2" t="n">
        <v>20</v>
      </c>
      <c r="G162" s="2" t="n">
        <v>40</v>
      </c>
      <c r="H162" s="2" t="n">
        <f aca="false">ROUND(F162/G162*100,0)</f>
        <v>50</v>
      </c>
      <c r="I162" s="2" t="str">
        <f aca="false">IF(H162&gt;=workload_config!$B$2,"Overloaded",IF(H162&lt;workload_config!$B$3,"Underutilized","Optimal"))</f>
        <v>Optimal</v>
      </c>
      <c r="J162" s="2" t="n">
        <v>2</v>
      </c>
      <c r="K162" s="2" t="n">
        <v>20</v>
      </c>
      <c r="L162" s="2" t="n">
        <v>0</v>
      </c>
      <c r="M162" s="2" t="n">
        <v>0</v>
      </c>
    </row>
    <row r="163" customFormat="false" ht="15" hidden="false" customHeight="false" outlineLevel="0" collapsed="false">
      <c r="A163" s="2" t="s">
        <v>191</v>
      </c>
      <c r="B163" s="2" t="s">
        <v>64</v>
      </c>
      <c r="C163" s="2" t="s">
        <v>151</v>
      </c>
      <c r="D163" s="2" t="s">
        <v>152</v>
      </c>
      <c r="E163" s="2" t="s">
        <v>146</v>
      </c>
      <c r="F163" s="2" t="n">
        <v>19</v>
      </c>
      <c r="G163" s="2" t="n">
        <v>40</v>
      </c>
      <c r="H163" s="2" t="n">
        <f aca="false">ROUND(F163/G163*100,0)</f>
        <v>48</v>
      </c>
      <c r="I163" s="2" t="str">
        <f aca="false">IF(H163&gt;=workload_config!$B$2,"Overloaded",IF(H163&lt;workload_config!$B$3,"Underutilized","Optimal"))</f>
        <v>Underutilized</v>
      </c>
      <c r="J163" s="2" t="n">
        <v>2</v>
      </c>
      <c r="K163" s="2" t="n">
        <v>19</v>
      </c>
      <c r="L163" s="2" t="n">
        <v>0</v>
      </c>
      <c r="M163" s="2" t="n">
        <v>0</v>
      </c>
    </row>
    <row r="164" customFormat="false" ht="15" hidden="false" customHeight="false" outlineLevel="0" collapsed="false">
      <c r="A164" s="2" t="s">
        <v>191</v>
      </c>
      <c r="B164" s="2" t="s">
        <v>64</v>
      </c>
      <c r="C164" s="2" t="s">
        <v>153</v>
      </c>
      <c r="D164" s="2" t="s">
        <v>154</v>
      </c>
      <c r="E164" s="2" t="s">
        <v>146</v>
      </c>
      <c r="F164" s="2" t="n">
        <v>13</v>
      </c>
      <c r="G164" s="2" t="n">
        <v>40</v>
      </c>
      <c r="H164" s="2" t="n">
        <f aca="false">ROUND(F164/G164*100,0)</f>
        <v>33</v>
      </c>
      <c r="I164" s="2" t="str">
        <f aca="false">IF(H164&gt;=workload_config!$B$2,"Overloaded",IF(H164&lt;workload_config!$B$3,"Underutilized","Optimal"))</f>
        <v>Underutilized</v>
      </c>
      <c r="J164" s="2" t="n">
        <v>1</v>
      </c>
      <c r="K164" s="2" t="n">
        <v>13</v>
      </c>
      <c r="L164" s="2" t="n">
        <v>0</v>
      </c>
      <c r="M164" s="2" t="n">
        <v>0</v>
      </c>
    </row>
    <row r="165" customFormat="false" ht="15" hidden="false" customHeight="false" outlineLevel="0" collapsed="false">
      <c r="A165" s="2" t="s">
        <v>191</v>
      </c>
      <c r="B165" s="2" t="s">
        <v>64</v>
      </c>
      <c r="C165" s="2" t="s">
        <v>155</v>
      </c>
      <c r="D165" s="2" t="s">
        <v>156</v>
      </c>
      <c r="E165" s="2" t="s">
        <v>146</v>
      </c>
      <c r="F165" s="2" t="n">
        <v>40</v>
      </c>
      <c r="G165" s="2" t="n">
        <v>40</v>
      </c>
      <c r="H165" s="2" t="n">
        <f aca="false">ROUND(F165/G165*100,0)</f>
        <v>100</v>
      </c>
      <c r="I165" s="2" t="str">
        <f aca="false">IF(H165&gt;=workload_config!$B$2,"Overloaded",IF(H165&lt;workload_config!$B$3,"Underutilized","Optimal"))</f>
        <v>Overloaded</v>
      </c>
      <c r="J165" s="2" t="n">
        <v>4</v>
      </c>
      <c r="K165" s="2" t="n">
        <v>40</v>
      </c>
      <c r="L165" s="2" t="n">
        <v>0</v>
      </c>
      <c r="M165" s="2" t="n">
        <v>0</v>
      </c>
    </row>
    <row r="166" customFormat="false" ht="15" hidden="false" customHeight="false" outlineLevel="0" collapsed="false">
      <c r="A166" s="2" t="s">
        <v>191</v>
      </c>
      <c r="B166" s="2" t="s">
        <v>64</v>
      </c>
      <c r="C166" s="2" t="s">
        <v>157</v>
      </c>
      <c r="D166" s="2" t="s">
        <v>158</v>
      </c>
      <c r="E166" s="2" t="s">
        <v>146</v>
      </c>
      <c r="F166" s="2" t="n">
        <v>9</v>
      </c>
      <c r="G166" s="2" t="n">
        <v>40</v>
      </c>
      <c r="H166" s="2" t="n">
        <f aca="false">ROUND(F166/G166*100,0)</f>
        <v>23</v>
      </c>
      <c r="I166" s="2" t="str">
        <f aca="false">IF(H166&gt;=workload_config!$B$2,"Overloaded",IF(H166&lt;workload_config!$B$3,"Underutilized","Optimal"))</f>
        <v>Underutilized</v>
      </c>
      <c r="J166" s="2" t="n">
        <v>1</v>
      </c>
      <c r="K166" s="2" t="n">
        <v>9</v>
      </c>
      <c r="L166" s="2" t="n">
        <v>0</v>
      </c>
      <c r="M166" s="2" t="n">
        <v>0</v>
      </c>
    </row>
    <row r="167" customFormat="false" ht="15" hidden="false" customHeight="false" outlineLevel="0" collapsed="false">
      <c r="A167" s="2" t="s">
        <v>191</v>
      </c>
      <c r="B167" s="2" t="s">
        <v>64</v>
      </c>
      <c r="C167" s="2" t="s">
        <v>159</v>
      </c>
      <c r="D167" s="2" t="s">
        <v>160</v>
      </c>
      <c r="E167" s="2" t="s">
        <v>146</v>
      </c>
      <c r="F167" s="2" t="n">
        <v>11</v>
      </c>
      <c r="G167" s="2" t="n">
        <v>40</v>
      </c>
      <c r="H167" s="2" t="n">
        <f aca="false">ROUND(F167/G167*100,0)</f>
        <v>28</v>
      </c>
      <c r="I167" s="2" t="str">
        <f aca="false">IF(H167&gt;=workload_config!$B$2,"Overloaded",IF(H167&lt;workload_config!$B$3,"Underutilized","Optimal"))</f>
        <v>Underutilized</v>
      </c>
      <c r="J167" s="2" t="n">
        <v>1</v>
      </c>
      <c r="K167" s="2" t="n">
        <v>11</v>
      </c>
      <c r="L167" s="2" t="n">
        <v>0</v>
      </c>
      <c r="M167" s="2" t="n">
        <v>0</v>
      </c>
    </row>
    <row r="168" customFormat="false" ht="15" hidden="false" customHeight="false" outlineLevel="0" collapsed="false">
      <c r="A168" s="2" t="s">
        <v>191</v>
      </c>
      <c r="B168" s="2" t="s">
        <v>64</v>
      </c>
      <c r="C168" s="2" t="s">
        <v>161</v>
      </c>
      <c r="D168" s="2" t="s">
        <v>162</v>
      </c>
      <c r="E168" s="2" t="s">
        <v>146</v>
      </c>
      <c r="F168" s="2" t="n">
        <v>14</v>
      </c>
      <c r="G168" s="2" t="n">
        <v>40</v>
      </c>
      <c r="H168" s="2" t="n">
        <f aca="false">ROUND(F168/G168*100,0)</f>
        <v>35</v>
      </c>
      <c r="I168" s="2" t="str">
        <f aca="false">IF(H168&gt;=workload_config!$B$2,"Overloaded",IF(H168&lt;workload_config!$B$3,"Underutilized","Optimal"))</f>
        <v>Underutilized</v>
      </c>
      <c r="J168" s="2" t="n">
        <v>1</v>
      </c>
      <c r="K168" s="2" t="n">
        <v>14</v>
      </c>
      <c r="L168" s="2" t="n">
        <v>0</v>
      </c>
      <c r="M168" s="2" t="n">
        <v>0</v>
      </c>
    </row>
    <row r="169" customFormat="false" ht="15" hidden="false" customHeight="false" outlineLevel="0" collapsed="false">
      <c r="A169" s="2" t="s">
        <v>191</v>
      </c>
      <c r="B169" s="2" t="s">
        <v>64</v>
      </c>
      <c r="C169" s="2" t="s">
        <v>163</v>
      </c>
      <c r="D169" s="2" t="s">
        <v>164</v>
      </c>
      <c r="E169" s="2" t="s">
        <v>146</v>
      </c>
      <c r="F169" s="2" t="n">
        <v>21</v>
      </c>
      <c r="G169" s="2" t="n">
        <v>40</v>
      </c>
      <c r="H169" s="2" t="n">
        <f aca="false">ROUND(F169/G169*100,0)</f>
        <v>53</v>
      </c>
      <c r="I169" s="2" t="str">
        <f aca="false">IF(H169&gt;=workload_config!$B$2,"Overloaded",IF(H169&lt;workload_config!$B$3,"Underutilized","Optimal"))</f>
        <v>Optimal</v>
      </c>
      <c r="J169" s="2" t="n">
        <v>2</v>
      </c>
      <c r="K169" s="2" t="n">
        <v>21</v>
      </c>
      <c r="L169" s="2" t="n">
        <v>0</v>
      </c>
      <c r="M169" s="2" t="n">
        <v>0</v>
      </c>
    </row>
    <row r="170" customFormat="false" ht="15" hidden="false" customHeight="false" outlineLevel="0" collapsed="false">
      <c r="A170" s="2" t="s">
        <v>191</v>
      </c>
      <c r="B170" s="2" t="s">
        <v>64</v>
      </c>
      <c r="C170" s="2" t="s">
        <v>165</v>
      </c>
      <c r="D170" s="2" t="s">
        <v>166</v>
      </c>
      <c r="E170" s="2" t="s">
        <v>146</v>
      </c>
      <c r="F170" s="2" t="n">
        <v>10</v>
      </c>
      <c r="G170" s="2" t="n">
        <v>40</v>
      </c>
      <c r="H170" s="2" t="n">
        <f aca="false">ROUND(F170/G170*100,0)</f>
        <v>25</v>
      </c>
      <c r="I170" s="2" t="str">
        <f aca="false">IF(H170&gt;=workload_config!$B$2,"Overloaded",IF(H170&lt;workload_config!$B$3,"Underutilized","Optimal"))</f>
        <v>Underutilized</v>
      </c>
      <c r="J170" s="2" t="n">
        <v>1</v>
      </c>
      <c r="K170" s="2" t="n">
        <v>10</v>
      </c>
      <c r="L170" s="2" t="n">
        <v>0</v>
      </c>
      <c r="M170" s="2" t="n">
        <v>0</v>
      </c>
    </row>
    <row r="171" customFormat="false" ht="15" hidden="false" customHeight="false" outlineLevel="0" collapsed="false">
      <c r="A171" s="2" t="s">
        <v>191</v>
      </c>
      <c r="B171" s="2" t="s">
        <v>64</v>
      </c>
      <c r="C171" s="2" t="s">
        <v>167</v>
      </c>
      <c r="D171" s="2" t="s">
        <v>168</v>
      </c>
      <c r="E171" s="2" t="s">
        <v>169</v>
      </c>
      <c r="F171" s="2" t="n">
        <v>35</v>
      </c>
      <c r="G171" s="2" t="n">
        <v>40</v>
      </c>
      <c r="H171" s="2" t="n">
        <f aca="false">ROUND(F171/G171*100,0)</f>
        <v>88</v>
      </c>
      <c r="I171" s="2" t="str">
        <f aca="false">IF(H171&gt;=workload_config!$B$2,"Overloaded",IF(H171&lt;workload_config!$B$3,"Underutilized","Optimal"))</f>
        <v>Overloaded</v>
      </c>
      <c r="J171" s="2" t="n">
        <v>4</v>
      </c>
      <c r="K171" s="2" t="n">
        <v>17</v>
      </c>
      <c r="L171" s="2" t="n">
        <v>18</v>
      </c>
      <c r="M171" s="2" t="n">
        <v>0</v>
      </c>
    </row>
    <row r="172" customFormat="false" ht="15" hidden="false" customHeight="false" outlineLevel="0" collapsed="false">
      <c r="A172" s="2" t="s">
        <v>191</v>
      </c>
      <c r="B172" s="2" t="s">
        <v>64</v>
      </c>
      <c r="C172" s="2" t="s">
        <v>170</v>
      </c>
      <c r="D172" s="2" t="s">
        <v>171</v>
      </c>
      <c r="E172" s="2" t="s">
        <v>169</v>
      </c>
      <c r="F172" s="2" t="n">
        <v>26</v>
      </c>
      <c r="G172" s="2" t="n">
        <v>40</v>
      </c>
      <c r="H172" s="2" t="n">
        <f aca="false">ROUND(F172/G172*100,0)</f>
        <v>65</v>
      </c>
      <c r="I172" s="2" t="str">
        <f aca="false">IF(H172&gt;=workload_config!$B$2,"Overloaded",IF(H172&lt;workload_config!$B$3,"Underutilized","Optimal"))</f>
        <v>Optimal</v>
      </c>
      <c r="J172" s="2" t="n">
        <v>3</v>
      </c>
      <c r="K172" s="2" t="n">
        <v>26</v>
      </c>
      <c r="L172" s="2" t="n">
        <v>0</v>
      </c>
      <c r="M172" s="2" t="n">
        <v>0</v>
      </c>
    </row>
    <row r="173" customFormat="false" ht="15" hidden="false" customHeight="false" outlineLevel="0" collapsed="false">
      <c r="A173" s="2" t="s">
        <v>191</v>
      </c>
      <c r="B173" s="2" t="s">
        <v>64</v>
      </c>
      <c r="C173" s="2" t="s">
        <v>172</v>
      </c>
      <c r="D173" s="2" t="s">
        <v>173</v>
      </c>
      <c r="E173" s="2" t="s">
        <v>169</v>
      </c>
      <c r="F173" s="2" t="n">
        <v>9</v>
      </c>
      <c r="G173" s="2" t="n">
        <v>40</v>
      </c>
      <c r="H173" s="2" t="n">
        <f aca="false">ROUND(F173/G173*100,0)</f>
        <v>23</v>
      </c>
      <c r="I173" s="2" t="str">
        <f aca="false">IF(H173&gt;=workload_config!$B$2,"Overloaded",IF(H173&lt;workload_config!$B$3,"Underutilized","Optimal"))</f>
        <v>Underutilized</v>
      </c>
      <c r="J173" s="2" t="n">
        <v>1</v>
      </c>
      <c r="K173" s="2" t="n">
        <v>9</v>
      </c>
      <c r="L173" s="2" t="n">
        <v>0</v>
      </c>
      <c r="M173" s="2" t="n">
        <v>0</v>
      </c>
    </row>
    <row r="174" customFormat="false" ht="15" hidden="false" customHeight="false" outlineLevel="0" collapsed="false">
      <c r="A174" s="2" t="s">
        <v>191</v>
      </c>
      <c r="B174" s="2" t="s">
        <v>64</v>
      </c>
      <c r="C174" s="2" t="s">
        <v>174</v>
      </c>
      <c r="D174" s="2" t="s">
        <v>175</v>
      </c>
      <c r="E174" s="2" t="s">
        <v>169</v>
      </c>
      <c r="F174" s="2" t="n">
        <v>7</v>
      </c>
      <c r="G174" s="2" t="n">
        <v>40</v>
      </c>
      <c r="H174" s="2" t="n">
        <f aca="false">ROUND(F174/G174*100,0)</f>
        <v>18</v>
      </c>
      <c r="I174" s="2" t="str">
        <f aca="false">IF(H174&gt;=workload_config!$B$2,"Overloaded",IF(H174&lt;workload_config!$B$3,"Underutilized","Optimal"))</f>
        <v>Underutilized</v>
      </c>
      <c r="J174" s="2" t="n">
        <v>1</v>
      </c>
      <c r="K174" s="2" t="n">
        <v>7</v>
      </c>
      <c r="L174" s="2" t="n">
        <v>0</v>
      </c>
      <c r="M174" s="2" t="n">
        <v>0</v>
      </c>
    </row>
    <row r="175" customFormat="false" ht="15" hidden="false" customHeight="false" outlineLevel="0" collapsed="false">
      <c r="A175" s="2" t="s">
        <v>191</v>
      </c>
      <c r="B175" s="2" t="s">
        <v>64</v>
      </c>
      <c r="C175" s="2" t="s">
        <v>176</v>
      </c>
      <c r="D175" s="2" t="s">
        <v>177</v>
      </c>
      <c r="E175" s="2" t="s">
        <v>169</v>
      </c>
      <c r="F175" s="2" t="n">
        <v>27</v>
      </c>
      <c r="G175" s="2" t="n">
        <v>40</v>
      </c>
      <c r="H175" s="2" t="n">
        <f aca="false">ROUND(F175/G175*100,0)</f>
        <v>68</v>
      </c>
      <c r="I175" s="2" t="str">
        <f aca="false">IF(H175&gt;=workload_config!$B$2,"Overloaded",IF(H175&lt;workload_config!$B$3,"Underutilized","Optimal"))</f>
        <v>Optimal</v>
      </c>
      <c r="J175" s="2" t="n">
        <v>3</v>
      </c>
      <c r="K175" s="2" t="n">
        <v>27</v>
      </c>
      <c r="L175" s="2" t="n">
        <v>0</v>
      </c>
      <c r="M175" s="2" t="n">
        <v>0</v>
      </c>
    </row>
    <row r="176" customFormat="false" ht="15" hidden="false" customHeight="false" outlineLevel="0" collapsed="false">
      <c r="A176" s="2" t="s">
        <v>191</v>
      </c>
      <c r="B176" s="2" t="s">
        <v>64</v>
      </c>
      <c r="C176" s="2" t="s">
        <v>178</v>
      </c>
      <c r="D176" s="2" t="s">
        <v>179</v>
      </c>
      <c r="E176" s="2" t="s">
        <v>169</v>
      </c>
      <c r="F176" s="2" t="n">
        <v>0</v>
      </c>
      <c r="G176" s="2" t="n">
        <v>40</v>
      </c>
      <c r="H176" s="2" t="n">
        <f aca="false">ROUND(F176/G176*100,0)</f>
        <v>0</v>
      </c>
      <c r="I176" s="2" t="str">
        <f aca="false">IF(H176&gt;=workload_config!$B$2,"Overloaded",IF(H176&lt;workload_config!$B$3,"Underutilized","Optimal"))</f>
        <v>Underutilized</v>
      </c>
      <c r="J176" s="2" t="n">
        <v>0</v>
      </c>
      <c r="K176" s="2" t="n">
        <v>0</v>
      </c>
      <c r="L176" s="2" t="n">
        <v>0</v>
      </c>
      <c r="M176" s="2" t="n">
        <v>0</v>
      </c>
    </row>
    <row r="177" customFormat="false" ht="15" hidden="false" customHeight="false" outlineLevel="0" collapsed="false">
      <c r="A177" s="2" t="s">
        <v>191</v>
      </c>
      <c r="B177" s="2" t="s">
        <v>64</v>
      </c>
      <c r="C177" s="2" t="s">
        <v>180</v>
      </c>
      <c r="D177" s="2" t="s">
        <v>181</v>
      </c>
      <c r="E177" s="2" t="s">
        <v>169</v>
      </c>
      <c r="F177" s="2" t="n">
        <v>0</v>
      </c>
      <c r="G177" s="2" t="n">
        <v>32</v>
      </c>
      <c r="H177" s="2" t="n">
        <f aca="false">ROUND(F177/G177*100,0)</f>
        <v>0</v>
      </c>
      <c r="I177" s="2" t="str">
        <f aca="false">IF(H177&gt;=workload_config!$B$2,"Overloaded",IF(H177&lt;workload_config!$B$3,"Underutilized","Optimal"))</f>
        <v>Underutilized</v>
      </c>
      <c r="J177" s="2" t="n">
        <v>0</v>
      </c>
      <c r="K177" s="2" t="n">
        <v>0</v>
      </c>
      <c r="L177" s="2" t="n">
        <v>0</v>
      </c>
      <c r="M177" s="2" t="n">
        <v>0</v>
      </c>
    </row>
    <row r="178" customFormat="false" ht="15" hidden="false" customHeight="false" outlineLevel="0" collapsed="false">
      <c r="A178" s="2" t="s">
        <v>191</v>
      </c>
      <c r="B178" s="2" t="s">
        <v>64</v>
      </c>
      <c r="C178" s="2" t="s">
        <v>182</v>
      </c>
      <c r="D178" s="2" t="s">
        <v>183</v>
      </c>
      <c r="E178" s="2" t="s">
        <v>169</v>
      </c>
      <c r="F178" s="2" t="n">
        <v>9</v>
      </c>
      <c r="G178" s="2" t="n">
        <v>20</v>
      </c>
      <c r="H178" s="2" t="n">
        <f aca="false">ROUND(F178/G178*100,0)</f>
        <v>45</v>
      </c>
      <c r="I178" s="2" t="str">
        <f aca="false">IF(H178&gt;=workload_config!$B$2,"Overloaded",IF(H178&lt;workload_config!$B$3,"Underutilized","Optimal"))</f>
        <v>Underutilized</v>
      </c>
      <c r="J178" s="2" t="n">
        <v>1</v>
      </c>
      <c r="K178" s="2" t="n">
        <v>9</v>
      </c>
      <c r="L178" s="2" t="n">
        <v>0</v>
      </c>
      <c r="M178" s="2" t="n">
        <v>0</v>
      </c>
    </row>
    <row r="179" customFormat="false" ht="15" hidden="false" customHeight="false" outlineLevel="0" collapsed="false">
      <c r="A179" s="2" t="s">
        <v>191</v>
      </c>
      <c r="B179" s="2" t="s">
        <v>64</v>
      </c>
      <c r="C179" s="2" t="s">
        <v>184</v>
      </c>
      <c r="D179" s="2" t="s">
        <v>185</v>
      </c>
      <c r="E179" s="2" t="s">
        <v>169</v>
      </c>
      <c r="F179" s="2" t="n">
        <v>25</v>
      </c>
      <c r="G179" s="2" t="n">
        <v>32</v>
      </c>
      <c r="H179" s="2" t="n">
        <f aca="false">ROUND(F179/G179*100,0)</f>
        <v>78</v>
      </c>
      <c r="I179" s="2" t="str">
        <f aca="false">IF(H179&gt;=workload_config!$B$2,"Overloaded",IF(H179&lt;workload_config!$B$3,"Underutilized","Optimal"))</f>
        <v>Optimal</v>
      </c>
      <c r="J179" s="2" t="n">
        <v>2</v>
      </c>
      <c r="K179" s="2" t="n">
        <v>25</v>
      </c>
      <c r="L179" s="2" t="n">
        <v>0</v>
      </c>
      <c r="M179" s="2" t="n">
        <v>0</v>
      </c>
    </row>
    <row r="180" customFormat="false" ht="15" hidden="false" customHeight="false" outlineLevel="0" collapsed="false">
      <c r="A180" s="2" t="s">
        <v>191</v>
      </c>
      <c r="B180" s="2" t="s">
        <v>64</v>
      </c>
      <c r="C180" s="2" t="s">
        <v>186</v>
      </c>
      <c r="D180" s="2" t="s">
        <v>187</v>
      </c>
      <c r="E180" s="2" t="s">
        <v>169</v>
      </c>
      <c r="F180" s="2" t="n">
        <v>9</v>
      </c>
      <c r="G180" s="2" t="n">
        <v>40</v>
      </c>
      <c r="H180" s="2" t="n">
        <f aca="false">ROUND(F180/G180*100,0)</f>
        <v>23</v>
      </c>
      <c r="I180" s="2" t="str">
        <f aca="false">IF(H180&gt;=workload_config!$B$2,"Overloaded",IF(H180&lt;workload_config!$B$3,"Underutilized","Optimal"))</f>
        <v>Underutilized</v>
      </c>
      <c r="J180" s="2" t="n">
        <v>1</v>
      </c>
      <c r="K180" s="2" t="n">
        <v>9</v>
      </c>
      <c r="L180" s="2" t="n">
        <v>0</v>
      </c>
      <c r="M180" s="2" t="n">
        <v>0</v>
      </c>
    </row>
    <row r="181" customFormat="false" ht="15" hidden="false" customHeight="false" outlineLevel="0" collapsed="false">
      <c r="A181" s="2" t="s">
        <v>191</v>
      </c>
      <c r="B181" s="2" t="s">
        <v>64</v>
      </c>
      <c r="C181" s="2" t="s">
        <v>188</v>
      </c>
      <c r="D181" s="2" t="s">
        <v>189</v>
      </c>
      <c r="E181" s="2" t="s">
        <v>169</v>
      </c>
      <c r="F181" s="2" t="n">
        <v>12</v>
      </c>
      <c r="G181" s="2" t="n">
        <v>40</v>
      </c>
      <c r="H181" s="2" t="n">
        <f aca="false">ROUND(F181/G181*100,0)</f>
        <v>30</v>
      </c>
      <c r="I181" s="2" t="str">
        <f aca="false">IF(H181&gt;=workload_config!$B$2,"Overloaded",IF(H181&lt;workload_config!$B$3,"Underutilized","Optimal"))</f>
        <v>Underutilized</v>
      </c>
      <c r="J181" s="2" t="n">
        <v>1</v>
      </c>
      <c r="K181" s="2" t="n">
        <v>12</v>
      </c>
      <c r="L181" s="2" t="n">
        <v>0</v>
      </c>
      <c r="M181" s="2" t="n">
        <v>0</v>
      </c>
    </row>
    <row r="182" customFormat="false" ht="15" hidden="false" customHeight="false" outlineLevel="0" collapsed="false">
      <c r="A182" s="2" t="s">
        <v>192</v>
      </c>
      <c r="B182" s="2" t="s">
        <v>64</v>
      </c>
      <c r="C182" s="2" t="s">
        <v>65</v>
      </c>
      <c r="D182" s="2" t="s">
        <v>66</v>
      </c>
      <c r="E182" s="2" t="s">
        <v>67</v>
      </c>
      <c r="F182" s="2" t="n">
        <v>36</v>
      </c>
      <c r="G182" s="2" t="n">
        <v>40</v>
      </c>
      <c r="H182" s="2" t="n">
        <f aca="false">ROUND(F182/G182*100,0)</f>
        <v>90</v>
      </c>
      <c r="I182" s="2" t="str">
        <f aca="false">IF(H182&gt;=workload_config!$B$2,"Overloaded",IF(H182&lt;workload_config!$B$3,"Underutilized","Optimal"))</f>
        <v>Overloaded</v>
      </c>
      <c r="J182" s="2" t="n">
        <v>4</v>
      </c>
      <c r="K182" s="2" t="n">
        <v>16</v>
      </c>
      <c r="L182" s="2" t="n">
        <v>20</v>
      </c>
      <c r="M182" s="2" t="n">
        <v>2</v>
      </c>
    </row>
    <row r="183" customFormat="false" ht="15" hidden="false" customHeight="false" outlineLevel="0" collapsed="false">
      <c r="A183" s="2" t="s">
        <v>192</v>
      </c>
      <c r="B183" s="2" t="s">
        <v>64</v>
      </c>
      <c r="C183" s="2" t="s">
        <v>68</v>
      </c>
      <c r="D183" s="2" t="s">
        <v>69</v>
      </c>
      <c r="E183" s="2" t="s">
        <v>67</v>
      </c>
      <c r="F183" s="2" t="n">
        <v>16</v>
      </c>
      <c r="G183" s="2" t="n">
        <v>40</v>
      </c>
      <c r="H183" s="2" t="n">
        <f aca="false">ROUND(F183/G183*100,0)</f>
        <v>40</v>
      </c>
      <c r="I183" s="2" t="str">
        <f aca="false">IF(H183&gt;=workload_config!$B$2,"Overloaded",IF(H183&lt;workload_config!$B$3,"Underutilized","Optimal"))</f>
        <v>Underutilized</v>
      </c>
      <c r="J183" s="2" t="n">
        <v>2</v>
      </c>
      <c r="K183" s="2" t="n">
        <v>16</v>
      </c>
      <c r="L183" s="2" t="n">
        <v>0</v>
      </c>
      <c r="M183" s="2" t="n">
        <v>0</v>
      </c>
    </row>
    <row r="184" customFormat="false" ht="15" hidden="false" customHeight="false" outlineLevel="0" collapsed="false">
      <c r="A184" s="2" t="s">
        <v>192</v>
      </c>
      <c r="B184" s="2" t="s">
        <v>64</v>
      </c>
      <c r="C184" s="2" t="s">
        <v>70</v>
      </c>
      <c r="D184" s="2" t="s">
        <v>71</v>
      </c>
      <c r="E184" s="2" t="s">
        <v>67</v>
      </c>
      <c r="F184" s="2" t="n">
        <v>26</v>
      </c>
      <c r="G184" s="2" t="n">
        <v>40</v>
      </c>
      <c r="H184" s="2" t="n">
        <f aca="false">ROUND(F184/G184*100,0)</f>
        <v>65</v>
      </c>
      <c r="I184" s="2" t="str">
        <f aca="false">IF(H184&gt;=workload_config!$B$2,"Overloaded",IF(H184&lt;workload_config!$B$3,"Underutilized","Optimal"))</f>
        <v>Optimal</v>
      </c>
      <c r="J184" s="2" t="n">
        <v>2</v>
      </c>
      <c r="K184" s="2" t="n">
        <v>26</v>
      </c>
      <c r="L184" s="2" t="n">
        <v>0</v>
      </c>
      <c r="M184" s="2" t="n">
        <v>0</v>
      </c>
    </row>
    <row r="185" customFormat="false" ht="15" hidden="false" customHeight="false" outlineLevel="0" collapsed="false">
      <c r="A185" s="2" t="s">
        <v>192</v>
      </c>
      <c r="B185" s="2" t="s">
        <v>64</v>
      </c>
      <c r="C185" s="2" t="s">
        <v>72</v>
      </c>
      <c r="D185" s="2" t="s">
        <v>73</v>
      </c>
      <c r="E185" s="2" t="s">
        <v>67</v>
      </c>
      <c r="F185" s="2" t="n">
        <v>15</v>
      </c>
      <c r="G185" s="2" t="n">
        <v>40</v>
      </c>
      <c r="H185" s="2" t="n">
        <f aca="false">ROUND(F185/G185*100,0)</f>
        <v>38</v>
      </c>
      <c r="I185" s="2" t="str">
        <f aca="false">IF(H185&gt;=workload_config!$B$2,"Overloaded",IF(H185&lt;workload_config!$B$3,"Underutilized","Optimal"))</f>
        <v>Underutilized</v>
      </c>
      <c r="J185" s="2" t="n">
        <v>2</v>
      </c>
      <c r="K185" s="2" t="n">
        <v>15</v>
      </c>
      <c r="L185" s="2" t="n">
        <v>0</v>
      </c>
      <c r="M185" s="2" t="n">
        <v>0</v>
      </c>
    </row>
    <row r="186" customFormat="false" ht="15" hidden="false" customHeight="false" outlineLevel="0" collapsed="false">
      <c r="A186" s="2" t="s">
        <v>192</v>
      </c>
      <c r="B186" s="2" t="s">
        <v>64</v>
      </c>
      <c r="C186" s="2" t="s">
        <v>74</v>
      </c>
      <c r="D186" s="2" t="s">
        <v>75</v>
      </c>
      <c r="E186" s="2" t="s">
        <v>67</v>
      </c>
      <c r="F186" s="2" t="n">
        <v>20</v>
      </c>
      <c r="G186" s="2" t="n">
        <v>40</v>
      </c>
      <c r="H186" s="2" t="n">
        <f aca="false">ROUND(F186/G186*100,0)</f>
        <v>50</v>
      </c>
      <c r="I186" s="2" t="str">
        <f aca="false">IF(H186&gt;=workload_config!$B$2,"Overloaded",IF(H186&lt;workload_config!$B$3,"Underutilized","Optimal"))</f>
        <v>Optimal</v>
      </c>
      <c r="J186" s="2" t="n">
        <v>2</v>
      </c>
      <c r="K186" s="2" t="n">
        <v>20</v>
      </c>
      <c r="L186" s="2" t="n">
        <v>0</v>
      </c>
      <c r="M186" s="2" t="n">
        <v>0</v>
      </c>
    </row>
    <row r="187" customFormat="false" ht="15" hidden="false" customHeight="false" outlineLevel="0" collapsed="false">
      <c r="A187" s="2" t="s">
        <v>192</v>
      </c>
      <c r="B187" s="2" t="s">
        <v>64</v>
      </c>
      <c r="C187" s="2" t="s">
        <v>76</v>
      </c>
      <c r="D187" s="2" t="s">
        <v>77</v>
      </c>
      <c r="E187" s="2" t="s">
        <v>67</v>
      </c>
      <c r="F187" s="2" t="n">
        <v>20</v>
      </c>
      <c r="G187" s="2" t="n">
        <v>40</v>
      </c>
      <c r="H187" s="2" t="n">
        <f aca="false">ROUND(F187/G187*100,0)</f>
        <v>50</v>
      </c>
      <c r="I187" s="2" t="str">
        <f aca="false">IF(H187&gt;=workload_config!$B$2,"Overloaded",IF(H187&lt;workload_config!$B$3,"Underutilized","Optimal"))</f>
        <v>Optimal</v>
      </c>
      <c r="J187" s="2" t="n">
        <v>2</v>
      </c>
      <c r="K187" s="2" t="n">
        <v>20</v>
      </c>
      <c r="L187" s="2" t="n">
        <v>0</v>
      </c>
      <c r="M187" s="2" t="n">
        <v>0</v>
      </c>
    </row>
    <row r="188" customFormat="false" ht="15" hidden="false" customHeight="false" outlineLevel="0" collapsed="false">
      <c r="A188" s="2" t="s">
        <v>192</v>
      </c>
      <c r="B188" s="2" t="s">
        <v>64</v>
      </c>
      <c r="C188" s="2" t="s">
        <v>78</v>
      </c>
      <c r="D188" s="2" t="s">
        <v>79</v>
      </c>
      <c r="E188" s="2" t="s">
        <v>67</v>
      </c>
      <c r="F188" s="2" t="n">
        <v>20</v>
      </c>
      <c r="G188" s="2" t="n">
        <v>40</v>
      </c>
      <c r="H188" s="2" t="n">
        <f aca="false">ROUND(F188/G188*100,0)</f>
        <v>50</v>
      </c>
      <c r="I188" s="2" t="str">
        <f aca="false">IF(H188&gt;=workload_config!$B$2,"Overloaded",IF(H188&lt;workload_config!$B$3,"Underutilized","Optimal"))</f>
        <v>Optimal</v>
      </c>
      <c r="J188" s="2" t="n">
        <v>2</v>
      </c>
      <c r="K188" s="2" t="n">
        <v>20</v>
      </c>
      <c r="L188" s="2" t="n">
        <v>0</v>
      </c>
      <c r="M188" s="2" t="n">
        <v>0</v>
      </c>
    </row>
    <row r="189" customFormat="false" ht="15" hidden="false" customHeight="false" outlineLevel="0" collapsed="false">
      <c r="A189" s="2" t="s">
        <v>192</v>
      </c>
      <c r="B189" s="2" t="s">
        <v>64</v>
      </c>
      <c r="C189" s="2" t="s">
        <v>80</v>
      </c>
      <c r="D189" s="2" t="s">
        <v>81</v>
      </c>
      <c r="E189" s="2" t="s">
        <v>67</v>
      </c>
      <c r="F189" s="2" t="n">
        <v>19</v>
      </c>
      <c r="G189" s="2" t="n">
        <v>40</v>
      </c>
      <c r="H189" s="2" t="n">
        <f aca="false">ROUND(F189/G189*100,0)</f>
        <v>48</v>
      </c>
      <c r="I189" s="2" t="str">
        <f aca="false">IF(H189&gt;=workload_config!$B$2,"Overloaded",IF(H189&lt;workload_config!$B$3,"Underutilized","Optimal"))</f>
        <v>Underutilized</v>
      </c>
      <c r="J189" s="2" t="n">
        <v>2</v>
      </c>
      <c r="K189" s="2" t="n">
        <v>8</v>
      </c>
      <c r="L189" s="2" t="n">
        <v>11</v>
      </c>
      <c r="M189" s="2" t="n">
        <v>0</v>
      </c>
    </row>
    <row r="190" customFormat="false" ht="15" hidden="false" customHeight="false" outlineLevel="0" collapsed="false">
      <c r="A190" s="2" t="s">
        <v>192</v>
      </c>
      <c r="B190" s="2" t="s">
        <v>64</v>
      </c>
      <c r="C190" s="2" t="s">
        <v>82</v>
      </c>
      <c r="D190" s="2" t="s">
        <v>83</v>
      </c>
      <c r="E190" s="2" t="s">
        <v>67</v>
      </c>
      <c r="F190" s="2" t="n">
        <v>30</v>
      </c>
      <c r="G190" s="2" t="n">
        <v>40</v>
      </c>
      <c r="H190" s="2" t="n">
        <f aca="false">ROUND(F190/G190*100,0)</f>
        <v>75</v>
      </c>
      <c r="I190" s="2" t="str">
        <f aca="false">IF(H190&gt;=workload_config!$B$2,"Overloaded",IF(H190&lt;workload_config!$B$3,"Underutilized","Optimal"))</f>
        <v>Optimal</v>
      </c>
      <c r="J190" s="2" t="n">
        <v>3</v>
      </c>
      <c r="K190" s="2" t="n">
        <v>9</v>
      </c>
      <c r="L190" s="2" t="n">
        <v>21</v>
      </c>
      <c r="M190" s="2" t="n">
        <v>0</v>
      </c>
    </row>
    <row r="191" customFormat="false" ht="15" hidden="false" customHeight="false" outlineLevel="0" collapsed="false">
      <c r="A191" s="2" t="s">
        <v>192</v>
      </c>
      <c r="B191" s="2" t="s">
        <v>64</v>
      </c>
      <c r="C191" s="2" t="s">
        <v>84</v>
      </c>
      <c r="D191" s="2" t="s">
        <v>85</v>
      </c>
      <c r="E191" s="2" t="s">
        <v>67</v>
      </c>
      <c r="F191" s="2" t="n">
        <v>33</v>
      </c>
      <c r="G191" s="2" t="n">
        <v>40</v>
      </c>
      <c r="H191" s="2" t="n">
        <f aca="false">ROUND(F191/G191*100,0)</f>
        <v>83</v>
      </c>
      <c r="I191" s="2" t="str">
        <f aca="false">IF(H191&gt;=workload_config!$B$2,"Overloaded",IF(H191&lt;workload_config!$B$3,"Underutilized","Optimal"))</f>
        <v>Optimal</v>
      </c>
      <c r="J191" s="2" t="n">
        <v>3</v>
      </c>
      <c r="K191" s="2" t="n">
        <v>11</v>
      </c>
      <c r="L191" s="2" t="n">
        <v>22</v>
      </c>
      <c r="M191" s="2" t="n">
        <v>0</v>
      </c>
    </row>
    <row r="192" customFormat="false" ht="15" hidden="false" customHeight="false" outlineLevel="0" collapsed="false">
      <c r="A192" s="2" t="s">
        <v>192</v>
      </c>
      <c r="B192" s="2" t="s">
        <v>64</v>
      </c>
      <c r="C192" s="2" t="s">
        <v>86</v>
      </c>
      <c r="D192" s="2" t="s">
        <v>87</v>
      </c>
      <c r="E192" s="2" t="s">
        <v>67</v>
      </c>
      <c r="F192" s="2" t="n">
        <v>11</v>
      </c>
      <c r="G192" s="2" t="n">
        <v>40</v>
      </c>
      <c r="H192" s="2" t="n">
        <f aca="false">ROUND(F192/G192*100,0)</f>
        <v>28</v>
      </c>
      <c r="I192" s="2" t="str">
        <f aca="false">IF(H192&gt;=workload_config!$B$2,"Overloaded",IF(H192&lt;workload_config!$B$3,"Underutilized","Optimal"))</f>
        <v>Underutilized</v>
      </c>
      <c r="J192" s="2" t="n">
        <v>1</v>
      </c>
      <c r="K192" s="2" t="n">
        <v>11</v>
      </c>
      <c r="L192" s="2" t="n">
        <v>0</v>
      </c>
      <c r="M192" s="2" t="n">
        <v>0</v>
      </c>
    </row>
    <row r="193" customFormat="false" ht="15" hidden="false" customHeight="false" outlineLevel="0" collapsed="false">
      <c r="A193" s="2" t="s">
        <v>192</v>
      </c>
      <c r="B193" s="2" t="s">
        <v>64</v>
      </c>
      <c r="C193" s="2" t="s">
        <v>88</v>
      </c>
      <c r="D193" s="2" t="s">
        <v>89</v>
      </c>
      <c r="E193" s="2" t="s">
        <v>67</v>
      </c>
      <c r="F193" s="2" t="n">
        <v>8</v>
      </c>
      <c r="G193" s="2" t="n">
        <v>40</v>
      </c>
      <c r="H193" s="2" t="n">
        <f aca="false">ROUND(F193/G193*100,0)</f>
        <v>20</v>
      </c>
      <c r="I193" s="2" t="str">
        <f aca="false">IF(H193&gt;=workload_config!$B$2,"Overloaded",IF(H193&lt;workload_config!$B$3,"Underutilized","Optimal"))</f>
        <v>Underutilized</v>
      </c>
      <c r="J193" s="2" t="n">
        <v>1</v>
      </c>
      <c r="K193" s="2" t="n">
        <v>8</v>
      </c>
      <c r="L193" s="2" t="n">
        <v>0</v>
      </c>
      <c r="M193" s="2" t="n">
        <v>0</v>
      </c>
    </row>
    <row r="194" customFormat="false" ht="15" hidden="false" customHeight="false" outlineLevel="0" collapsed="false">
      <c r="A194" s="2" t="s">
        <v>192</v>
      </c>
      <c r="B194" s="2" t="s">
        <v>64</v>
      </c>
      <c r="C194" s="2" t="s">
        <v>90</v>
      </c>
      <c r="D194" s="2" t="s">
        <v>91</v>
      </c>
      <c r="E194" s="2" t="s">
        <v>67</v>
      </c>
      <c r="F194" s="2" t="n">
        <v>29</v>
      </c>
      <c r="G194" s="2" t="n">
        <v>40</v>
      </c>
      <c r="H194" s="2" t="n">
        <f aca="false">ROUND(F194/G194*100,0)</f>
        <v>73</v>
      </c>
      <c r="I194" s="2" t="str">
        <f aca="false">IF(H194&gt;=workload_config!$B$2,"Overloaded",IF(H194&lt;workload_config!$B$3,"Underutilized","Optimal"))</f>
        <v>Optimal</v>
      </c>
      <c r="J194" s="2" t="n">
        <v>3</v>
      </c>
      <c r="K194" s="2" t="n">
        <v>29</v>
      </c>
      <c r="L194" s="2" t="n">
        <v>0</v>
      </c>
      <c r="M194" s="2" t="n">
        <v>0</v>
      </c>
    </row>
    <row r="195" customFormat="false" ht="15" hidden="false" customHeight="false" outlineLevel="0" collapsed="false">
      <c r="A195" s="2" t="s">
        <v>192</v>
      </c>
      <c r="B195" s="2" t="s">
        <v>64</v>
      </c>
      <c r="C195" s="2" t="s">
        <v>92</v>
      </c>
      <c r="D195" s="2" t="s">
        <v>93</v>
      </c>
      <c r="E195" s="2" t="s">
        <v>67</v>
      </c>
      <c r="F195" s="2" t="n">
        <v>31</v>
      </c>
      <c r="G195" s="2" t="n">
        <v>40</v>
      </c>
      <c r="H195" s="2" t="n">
        <f aca="false">ROUND(F195/G195*100,0)</f>
        <v>78</v>
      </c>
      <c r="I195" s="2" t="str">
        <f aca="false">IF(H195&gt;=workload_config!$B$2,"Overloaded",IF(H195&lt;workload_config!$B$3,"Underutilized","Optimal"))</f>
        <v>Optimal</v>
      </c>
      <c r="J195" s="2" t="n">
        <v>3</v>
      </c>
      <c r="K195" s="2" t="n">
        <v>19</v>
      </c>
      <c r="L195" s="2" t="n">
        <v>12</v>
      </c>
      <c r="M195" s="2" t="n">
        <v>0</v>
      </c>
    </row>
    <row r="196" customFormat="false" ht="15" hidden="false" customHeight="false" outlineLevel="0" collapsed="false">
      <c r="A196" s="2" t="s">
        <v>192</v>
      </c>
      <c r="B196" s="2" t="s">
        <v>64</v>
      </c>
      <c r="C196" s="2" t="s">
        <v>94</v>
      </c>
      <c r="D196" s="2" t="s">
        <v>95</v>
      </c>
      <c r="E196" s="2" t="s">
        <v>96</v>
      </c>
      <c r="F196" s="2" t="n">
        <v>0</v>
      </c>
      <c r="G196" s="2" t="n">
        <v>40</v>
      </c>
      <c r="H196" s="2" t="n">
        <f aca="false">ROUND(F196/G196*100,0)</f>
        <v>0</v>
      </c>
      <c r="I196" s="2" t="str">
        <f aca="false">IF(H196&gt;=workload_config!$B$2,"Overloaded",IF(H196&lt;workload_config!$B$3,"Underutilized","Optimal"))</f>
        <v>Underutilized</v>
      </c>
      <c r="J196" s="2" t="n">
        <v>0</v>
      </c>
      <c r="K196" s="2" t="n">
        <v>0</v>
      </c>
      <c r="L196" s="2" t="n">
        <v>0</v>
      </c>
      <c r="M196" s="2" t="n">
        <v>0</v>
      </c>
    </row>
    <row r="197" customFormat="false" ht="15" hidden="false" customHeight="false" outlineLevel="0" collapsed="false">
      <c r="A197" s="2" t="s">
        <v>192</v>
      </c>
      <c r="B197" s="2" t="s">
        <v>64</v>
      </c>
      <c r="C197" s="2" t="s">
        <v>97</v>
      </c>
      <c r="D197" s="2" t="s">
        <v>98</v>
      </c>
      <c r="E197" s="2" t="s">
        <v>96</v>
      </c>
      <c r="F197" s="2" t="n">
        <v>20</v>
      </c>
      <c r="G197" s="2" t="n">
        <v>40</v>
      </c>
      <c r="H197" s="2" t="n">
        <f aca="false">ROUND(F197/G197*100,0)</f>
        <v>50</v>
      </c>
      <c r="I197" s="2" t="str">
        <f aca="false">IF(H197&gt;=workload_config!$B$2,"Overloaded",IF(H197&lt;workload_config!$B$3,"Underutilized","Optimal"))</f>
        <v>Optimal</v>
      </c>
      <c r="J197" s="2" t="n">
        <v>2</v>
      </c>
      <c r="K197" s="2" t="n">
        <v>20</v>
      </c>
      <c r="L197" s="2" t="n">
        <v>0</v>
      </c>
      <c r="M197" s="2" t="n">
        <v>0</v>
      </c>
    </row>
    <row r="198" customFormat="false" ht="15" hidden="false" customHeight="false" outlineLevel="0" collapsed="false">
      <c r="A198" s="2" t="s">
        <v>192</v>
      </c>
      <c r="B198" s="2" t="s">
        <v>64</v>
      </c>
      <c r="C198" s="2" t="s">
        <v>99</v>
      </c>
      <c r="D198" s="2" t="s">
        <v>100</v>
      </c>
      <c r="E198" s="2" t="s">
        <v>96</v>
      </c>
      <c r="F198" s="2" t="n">
        <v>12</v>
      </c>
      <c r="G198" s="2" t="n">
        <v>40</v>
      </c>
      <c r="H198" s="2" t="n">
        <f aca="false">ROUND(F198/G198*100,0)</f>
        <v>30</v>
      </c>
      <c r="I198" s="2" t="str">
        <f aca="false">IF(H198&gt;=workload_config!$B$2,"Overloaded",IF(H198&lt;workload_config!$B$3,"Underutilized","Optimal"))</f>
        <v>Underutilized</v>
      </c>
      <c r="J198" s="2" t="n">
        <v>1</v>
      </c>
      <c r="K198" s="2" t="n">
        <v>12</v>
      </c>
      <c r="L198" s="2" t="n">
        <v>0</v>
      </c>
      <c r="M198" s="2" t="n">
        <v>0</v>
      </c>
    </row>
    <row r="199" customFormat="false" ht="15" hidden="false" customHeight="false" outlineLevel="0" collapsed="false">
      <c r="A199" s="2" t="s">
        <v>192</v>
      </c>
      <c r="B199" s="2" t="s">
        <v>64</v>
      </c>
      <c r="C199" s="2" t="s">
        <v>101</v>
      </c>
      <c r="D199" s="2" t="s">
        <v>102</v>
      </c>
      <c r="E199" s="2" t="s">
        <v>96</v>
      </c>
      <c r="F199" s="2" t="n">
        <v>29</v>
      </c>
      <c r="G199" s="2" t="n">
        <v>40</v>
      </c>
      <c r="H199" s="2" t="n">
        <f aca="false">ROUND(F199/G199*100,0)</f>
        <v>73</v>
      </c>
      <c r="I199" s="2" t="str">
        <f aca="false">IF(H199&gt;=workload_config!$B$2,"Overloaded",IF(H199&lt;workload_config!$B$3,"Underutilized","Optimal"))</f>
        <v>Optimal</v>
      </c>
      <c r="J199" s="2" t="n">
        <v>3</v>
      </c>
      <c r="K199" s="2" t="n">
        <v>29</v>
      </c>
      <c r="L199" s="2" t="n">
        <v>0</v>
      </c>
      <c r="M199" s="2" t="n">
        <v>0</v>
      </c>
    </row>
    <row r="200" customFormat="false" ht="15" hidden="false" customHeight="false" outlineLevel="0" collapsed="false">
      <c r="A200" s="2" t="s">
        <v>192</v>
      </c>
      <c r="B200" s="2" t="s">
        <v>64</v>
      </c>
      <c r="C200" s="2" t="s">
        <v>103</v>
      </c>
      <c r="D200" s="2" t="s">
        <v>104</v>
      </c>
      <c r="E200" s="2" t="s">
        <v>96</v>
      </c>
      <c r="F200" s="2" t="n">
        <v>27</v>
      </c>
      <c r="G200" s="2" t="n">
        <v>40</v>
      </c>
      <c r="H200" s="2" t="n">
        <f aca="false">ROUND(F200/G200*100,0)</f>
        <v>68</v>
      </c>
      <c r="I200" s="2" t="str">
        <f aca="false">IF(H200&gt;=workload_config!$B$2,"Overloaded",IF(H200&lt;workload_config!$B$3,"Underutilized","Optimal"))</f>
        <v>Optimal</v>
      </c>
      <c r="J200" s="2" t="n">
        <v>3</v>
      </c>
      <c r="K200" s="2" t="n">
        <v>9</v>
      </c>
      <c r="L200" s="2" t="n">
        <v>18</v>
      </c>
      <c r="M200" s="2" t="n">
        <v>0</v>
      </c>
    </row>
    <row r="201" customFormat="false" ht="15" hidden="false" customHeight="false" outlineLevel="0" collapsed="false">
      <c r="A201" s="2" t="s">
        <v>192</v>
      </c>
      <c r="B201" s="2" t="s">
        <v>64</v>
      </c>
      <c r="C201" s="2" t="s">
        <v>105</v>
      </c>
      <c r="D201" s="2" t="s">
        <v>106</v>
      </c>
      <c r="E201" s="2" t="s">
        <v>96</v>
      </c>
      <c r="F201" s="2" t="n">
        <v>31</v>
      </c>
      <c r="G201" s="2" t="n">
        <v>40</v>
      </c>
      <c r="H201" s="2" t="n">
        <f aca="false">ROUND(F201/G201*100,0)</f>
        <v>78</v>
      </c>
      <c r="I201" s="2" t="str">
        <f aca="false">IF(H201&gt;=workload_config!$B$2,"Overloaded",IF(H201&lt;workload_config!$B$3,"Underutilized","Optimal"))</f>
        <v>Optimal</v>
      </c>
      <c r="J201" s="2" t="n">
        <v>3</v>
      </c>
      <c r="K201" s="2" t="n">
        <v>31</v>
      </c>
      <c r="L201" s="2" t="n">
        <v>0</v>
      </c>
      <c r="M201" s="2" t="n">
        <v>0</v>
      </c>
    </row>
    <row r="202" customFormat="false" ht="15" hidden="false" customHeight="false" outlineLevel="0" collapsed="false">
      <c r="A202" s="2" t="s">
        <v>192</v>
      </c>
      <c r="B202" s="2" t="s">
        <v>64</v>
      </c>
      <c r="C202" s="2" t="s">
        <v>107</v>
      </c>
      <c r="D202" s="2" t="s">
        <v>108</v>
      </c>
      <c r="E202" s="2" t="s">
        <v>96</v>
      </c>
      <c r="F202" s="2" t="n">
        <v>8</v>
      </c>
      <c r="G202" s="2" t="n">
        <v>40</v>
      </c>
      <c r="H202" s="2" t="n">
        <f aca="false">ROUND(F202/G202*100,0)</f>
        <v>20</v>
      </c>
      <c r="I202" s="2" t="str">
        <f aca="false">IF(H202&gt;=workload_config!$B$2,"Overloaded",IF(H202&lt;workload_config!$B$3,"Underutilized","Optimal"))</f>
        <v>Underutilized</v>
      </c>
      <c r="J202" s="2" t="n">
        <v>1</v>
      </c>
      <c r="K202" s="2" t="n">
        <v>8</v>
      </c>
      <c r="L202" s="2" t="n">
        <v>0</v>
      </c>
      <c r="M202" s="2" t="n">
        <v>0</v>
      </c>
    </row>
    <row r="203" customFormat="false" ht="15" hidden="false" customHeight="false" outlineLevel="0" collapsed="false">
      <c r="A203" s="2" t="s">
        <v>192</v>
      </c>
      <c r="B203" s="2" t="s">
        <v>64</v>
      </c>
      <c r="C203" s="2" t="s">
        <v>109</v>
      </c>
      <c r="D203" s="2" t="s">
        <v>110</v>
      </c>
      <c r="E203" s="2" t="s">
        <v>96</v>
      </c>
      <c r="F203" s="2" t="n">
        <v>38</v>
      </c>
      <c r="G203" s="2" t="n">
        <v>40</v>
      </c>
      <c r="H203" s="2" t="n">
        <f aca="false">ROUND(F203/G203*100,0)</f>
        <v>95</v>
      </c>
      <c r="I203" s="2" t="str">
        <f aca="false">IF(H203&gt;=workload_config!$B$2,"Overloaded",IF(H203&lt;workload_config!$B$3,"Underutilized","Optimal"))</f>
        <v>Overloaded</v>
      </c>
      <c r="J203" s="2" t="n">
        <v>4</v>
      </c>
      <c r="K203" s="2" t="n">
        <v>38</v>
      </c>
      <c r="L203" s="2" t="n">
        <v>0</v>
      </c>
      <c r="M203" s="2" t="n">
        <v>1</v>
      </c>
    </row>
    <row r="204" customFormat="false" ht="15" hidden="false" customHeight="false" outlineLevel="0" collapsed="false">
      <c r="A204" s="2" t="s">
        <v>192</v>
      </c>
      <c r="B204" s="2" t="s">
        <v>64</v>
      </c>
      <c r="C204" s="2" t="s">
        <v>111</v>
      </c>
      <c r="D204" s="2" t="s">
        <v>112</v>
      </c>
      <c r="E204" s="2" t="s">
        <v>96</v>
      </c>
      <c r="F204" s="2" t="n">
        <v>19</v>
      </c>
      <c r="G204" s="2" t="n">
        <v>40</v>
      </c>
      <c r="H204" s="2" t="n">
        <f aca="false">ROUND(F204/G204*100,0)</f>
        <v>48</v>
      </c>
      <c r="I204" s="2" t="str">
        <f aca="false">IF(H204&gt;=workload_config!$B$2,"Overloaded",IF(H204&lt;workload_config!$B$3,"Underutilized","Optimal"))</f>
        <v>Underutilized</v>
      </c>
      <c r="J204" s="2" t="n">
        <v>2</v>
      </c>
      <c r="K204" s="2" t="n">
        <v>19</v>
      </c>
      <c r="L204" s="2" t="n">
        <v>0</v>
      </c>
      <c r="M204" s="2" t="n">
        <v>0</v>
      </c>
    </row>
    <row r="205" customFormat="false" ht="15" hidden="false" customHeight="false" outlineLevel="0" collapsed="false">
      <c r="A205" s="2" t="s">
        <v>192</v>
      </c>
      <c r="B205" s="2" t="s">
        <v>64</v>
      </c>
      <c r="C205" s="2" t="s">
        <v>113</v>
      </c>
      <c r="D205" s="2" t="s">
        <v>114</v>
      </c>
      <c r="E205" s="2" t="s">
        <v>96</v>
      </c>
      <c r="F205" s="2" t="n">
        <v>18</v>
      </c>
      <c r="G205" s="2" t="n">
        <v>40</v>
      </c>
      <c r="H205" s="2" t="n">
        <f aca="false">ROUND(F205/G205*100,0)</f>
        <v>45</v>
      </c>
      <c r="I205" s="2" t="str">
        <f aca="false">IF(H205&gt;=workload_config!$B$2,"Overloaded",IF(H205&lt;workload_config!$B$3,"Underutilized","Optimal"))</f>
        <v>Underutilized</v>
      </c>
      <c r="J205" s="2" t="n">
        <v>2</v>
      </c>
      <c r="K205" s="2" t="n">
        <v>18</v>
      </c>
      <c r="L205" s="2" t="n">
        <v>0</v>
      </c>
      <c r="M205" s="2" t="n">
        <v>0</v>
      </c>
    </row>
    <row r="206" customFormat="false" ht="15" hidden="false" customHeight="false" outlineLevel="0" collapsed="false">
      <c r="A206" s="2" t="s">
        <v>192</v>
      </c>
      <c r="B206" s="2" t="s">
        <v>64</v>
      </c>
      <c r="C206" s="2" t="s">
        <v>115</v>
      </c>
      <c r="D206" s="2" t="s">
        <v>116</v>
      </c>
      <c r="E206" s="2" t="s">
        <v>96</v>
      </c>
      <c r="F206" s="2" t="n">
        <v>27</v>
      </c>
      <c r="G206" s="2" t="n">
        <v>40</v>
      </c>
      <c r="H206" s="2" t="n">
        <f aca="false">ROUND(F206/G206*100,0)</f>
        <v>68</v>
      </c>
      <c r="I206" s="2" t="str">
        <f aca="false">IF(H206&gt;=workload_config!$B$2,"Overloaded",IF(H206&lt;workload_config!$B$3,"Underutilized","Optimal"))</f>
        <v>Optimal</v>
      </c>
      <c r="J206" s="2" t="n">
        <v>3</v>
      </c>
      <c r="K206" s="2" t="n">
        <v>27</v>
      </c>
      <c r="L206" s="2" t="n">
        <v>0</v>
      </c>
      <c r="M206" s="2" t="n">
        <v>0</v>
      </c>
    </row>
    <row r="207" customFormat="false" ht="15" hidden="false" customHeight="false" outlineLevel="0" collapsed="false">
      <c r="A207" s="2" t="s">
        <v>192</v>
      </c>
      <c r="B207" s="2" t="s">
        <v>64</v>
      </c>
      <c r="C207" s="2" t="s">
        <v>117</v>
      </c>
      <c r="D207" s="2" t="s">
        <v>118</v>
      </c>
      <c r="E207" s="2" t="s">
        <v>119</v>
      </c>
      <c r="F207" s="2" t="n">
        <v>9</v>
      </c>
      <c r="G207" s="2" t="n">
        <v>40</v>
      </c>
      <c r="H207" s="2" t="n">
        <f aca="false">ROUND(F207/G207*100,0)</f>
        <v>23</v>
      </c>
      <c r="I207" s="2" t="str">
        <f aca="false">IF(H207&gt;=workload_config!$B$2,"Overloaded",IF(H207&lt;workload_config!$B$3,"Underutilized","Optimal"))</f>
        <v>Underutilized</v>
      </c>
      <c r="J207" s="2" t="n">
        <v>1</v>
      </c>
      <c r="K207" s="2" t="n">
        <v>9</v>
      </c>
      <c r="L207" s="2" t="n">
        <v>0</v>
      </c>
      <c r="M207" s="2" t="n">
        <v>0</v>
      </c>
    </row>
    <row r="208" customFormat="false" ht="15" hidden="false" customHeight="false" outlineLevel="0" collapsed="false">
      <c r="A208" s="2" t="s">
        <v>192</v>
      </c>
      <c r="B208" s="2" t="s">
        <v>64</v>
      </c>
      <c r="C208" s="2" t="s">
        <v>120</v>
      </c>
      <c r="D208" s="2" t="s">
        <v>121</v>
      </c>
      <c r="E208" s="2" t="s">
        <v>119</v>
      </c>
      <c r="F208" s="2" t="n">
        <v>19</v>
      </c>
      <c r="G208" s="2" t="n">
        <v>40</v>
      </c>
      <c r="H208" s="2" t="n">
        <f aca="false">ROUND(F208/G208*100,0)</f>
        <v>48</v>
      </c>
      <c r="I208" s="2" t="str">
        <f aca="false">IF(H208&gt;=workload_config!$B$2,"Overloaded",IF(H208&lt;workload_config!$B$3,"Underutilized","Optimal"))</f>
        <v>Underutilized</v>
      </c>
      <c r="J208" s="2" t="n">
        <v>2</v>
      </c>
      <c r="K208" s="2" t="n">
        <v>11</v>
      </c>
      <c r="L208" s="2" t="n">
        <v>8</v>
      </c>
      <c r="M208" s="2" t="n">
        <v>0</v>
      </c>
    </row>
    <row r="209" customFormat="false" ht="15" hidden="false" customHeight="false" outlineLevel="0" collapsed="false">
      <c r="A209" s="2" t="s">
        <v>192</v>
      </c>
      <c r="B209" s="2" t="s">
        <v>64</v>
      </c>
      <c r="C209" s="2" t="s">
        <v>122</v>
      </c>
      <c r="D209" s="2" t="s">
        <v>123</v>
      </c>
      <c r="E209" s="2" t="s">
        <v>119</v>
      </c>
      <c r="F209" s="2" t="n">
        <v>37</v>
      </c>
      <c r="G209" s="2" t="n">
        <v>40</v>
      </c>
      <c r="H209" s="2" t="n">
        <f aca="false">ROUND(F209/G209*100,0)</f>
        <v>93</v>
      </c>
      <c r="I209" s="2" t="str">
        <f aca="false">IF(H209&gt;=workload_config!$B$2,"Overloaded",IF(H209&lt;workload_config!$B$3,"Underutilized","Optimal"))</f>
        <v>Overloaded</v>
      </c>
      <c r="J209" s="2" t="n">
        <v>4</v>
      </c>
      <c r="K209" s="2" t="n">
        <v>27</v>
      </c>
      <c r="L209" s="2" t="n">
        <v>10</v>
      </c>
      <c r="M209" s="2" t="n">
        <v>1</v>
      </c>
    </row>
    <row r="210" customFormat="false" ht="15" hidden="false" customHeight="false" outlineLevel="0" collapsed="false">
      <c r="A210" s="2" t="s">
        <v>192</v>
      </c>
      <c r="B210" s="2" t="s">
        <v>64</v>
      </c>
      <c r="C210" s="2" t="s">
        <v>124</v>
      </c>
      <c r="D210" s="2" t="s">
        <v>125</v>
      </c>
      <c r="E210" s="2" t="s">
        <v>119</v>
      </c>
      <c r="F210" s="2" t="n">
        <v>10</v>
      </c>
      <c r="G210" s="2" t="n">
        <v>40</v>
      </c>
      <c r="H210" s="2" t="n">
        <f aca="false">ROUND(F210/G210*100,0)</f>
        <v>25</v>
      </c>
      <c r="I210" s="2" t="str">
        <f aca="false">IF(H210&gt;=workload_config!$B$2,"Overloaded",IF(H210&lt;workload_config!$B$3,"Underutilized","Optimal"))</f>
        <v>Underutilized</v>
      </c>
      <c r="J210" s="2" t="n">
        <v>1</v>
      </c>
      <c r="K210" s="2" t="n">
        <v>10</v>
      </c>
      <c r="L210" s="2" t="n">
        <v>0</v>
      </c>
      <c r="M210" s="2" t="n">
        <v>0</v>
      </c>
    </row>
    <row r="211" customFormat="false" ht="15" hidden="false" customHeight="false" outlineLevel="0" collapsed="false">
      <c r="A211" s="2" t="s">
        <v>192</v>
      </c>
      <c r="B211" s="2" t="s">
        <v>64</v>
      </c>
      <c r="C211" s="2" t="s">
        <v>126</v>
      </c>
      <c r="D211" s="2" t="s">
        <v>127</v>
      </c>
      <c r="E211" s="2" t="s">
        <v>119</v>
      </c>
      <c r="F211" s="2" t="n">
        <v>39</v>
      </c>
      <c r="G211" s="2" t="n">
        <v>40</v>
      </c>
      <c r="H211" s="2" t="n">
        <f aca="false">ROUND(F211/G211*100,0)</f>
        <v>98</v>
      </c>
      <c r="I211" s="2" t="str">
        <f aca="false">IF(H211&gt;=workload_config!$B$2,"Overloaded",IF(H211&lt;workload_config!$B$3,"Underutilized","Optimal"))</f>
        <v>Overloaded</v>
      </c>
      <c r="J211" s="2" t="n">
        <v>4</v>
      </c>
      <c r="K211" s="2" t="n">
        <v>39</v>
      </c>
      <c r="L211" s="2" t="n">
        <v>0</v>
      </c>
      <c r="M211" s="2" t="n">
        <v>1</v>
      </c>
    </row>
    <row r="212" customFormat="false" ht="15" hidden="false" customHeight="false" outlineLevel="0" collapsed="false">
      <c r="A212" s="2" t="s">
        <v>192</v>
      </c>
      <c r="B212" s="2" t="s">
        <v>64</v>
      </c>
      <c r="C212" s="2" t="s">
        <v>128</v>
      </c>
      <c r="D212" s="2" t="s">
        <v>129</v>
      </c>
      <c r="E212" s="2" t="s">
        <v>119</v>
      </c>
      <c r="F212" s="2" t="n">
        <v>24</v>
      </c>
      <c r="G212" s="2" t="n">
        <v>40</v>
      </c>
      <c r="H212" s="2" t="n">
        <f aca="false">ROUND(F212/G212*100,0)</f>
        <v>60</v>
      </c>
      <c r="I212" s="2" t="str">
        <f aca="false">IF(H212&gt;=workload_config!$B$2,"Overloaded",IF(H212&lt;workload_config!$B$3,"Underutilized","Optimal"))</f>
        <v>Optimal</v>
      </c>
      <c r="J212" s="2" t="n">
        <v>2</v>
      </c>
      <c r="K212" s="2" t="n">
        <v>24</v>
      </c>
      <c r="L212" s="2" t="n">
        <v>0</v>
      </c>
      <c r="M212" s="2" t="n">
        <v>0</v>
      </c>
    </row>
    <row r="213" customFormat="false" ht="15" hidden="false" customHeight="false" outlineLevel="0" collapsed="false">
      <c r="A213" s="2" t="s">
        <v>192</v>
      </c>
      <c r="B213" s="2" t="s">
        <v>64</v>
      </c>
      <c r="C213" s="2" t="s">
        <v>130</v>
      </c>
      <c r="D213" s="2" t="s">
        <v>131</v>
      </c>
      <c r="E213" s="2" t="s">
        <v>119</v>
      </c>
      <c r="F213" s="2" t="n">
        <v>12</v>
      </c>
      <c r="G213" s="2" t="n">
        <v>40</v>
      </c>
      <c r="H213" s="2" t="n">
        <f aca="false">ROUND(F213/G213*100,0)</f>
        <v>30</v>
      </c>
      <c r="I213" s="2" t="str">
        <f aca="false">IF(H213&gt;=workload_config!$B$2,"Overloaded",IF(H213&lt;workload_config!$B$3,"Underutilized","Optimal"))</f>
        <v>Underutilized</v>
      </c>
      <c r="J213" s="2" t="n">
        <v>1</v>
      </c>
      <c r="K213" s="2" t="n">
        <v>12</v>
      </c>
      <c r="L213" s="2" t="n">
        <v>0</v>
      </c>
      <c r="M213" s="2" t="n">
        <v>0</v>
      </c>
    </row>
    <row r="214" customFormat="false" ht="15" hidden="false" customHeight="false" outlineLevel="0" collapsed="false">
      <c r="A214" s="2" t="s">
        <v>192</v>
      </c>
      <c r="B214" s="2" t="s">
        <v>64</v>
      </c>
      <c r="C214" s="2" t="s">
        <v>132</v>
      </c>
      <c r="D214" s="2" t="s">
        <v>133</v>
      </c>
      <c r="E214" s="2" t="s">
        <v>119</v>
      </c>
      <c r="F214" s="2" t="n">
        <v>27</v>
      </c>
      <c r="G214" s="2" t="n">
        <v>40</v>
      </c>
      <c r="H214" s="2" t="n">
        <f aca="false">ROUND(F214/G214*100,0)</f>
        <v>68</v>
      </c>
      <c r="I214" s="2" t="str">
        <f aca="false">IF(H214&gt;=workload_config!$B$2,"Overloaded",IF(H214&lt;workload_config!$B$3,"Underutilized","Optimal"))</f>
        <v>Optimal</v>
      </c>
      <c r="J214" s="2" t="n">
        <v>3</v>
      </c>
      <c r="K214" s="2" t="n">
        <v>17</v>
      </c>
      <c r="L214" s="2" t="n">
        <v>10</v>
      </c>
      <c r="M214" s="2" t="n">
        <v>0</v>
      </c>
    </row>
    <row r="215" customFormat="false" ht="15" hidden="false" customHeight="false" outlineLevel="0" collapsed="false">
      <c r="A215" s="2" t="s">
        <v>192</v>
      </c>
      <c r="B215" s="2" t="s">
        <v>64</v>
      </c>
      <c r="C215" s="2" t="s">
        <v>134</v>
      </c>
      <c r="D215" s="2" t="s">
        <v>135</v>
      </c>
      <c r="E215" s="2" t="s">
        <v>119</v>
      </c>
      <c r="F215" s="2" t="n">
        <v>30</v>
      </c>
      <c r="G215" s="2" t="n">
        <v>40</v>
      </c>
      <c r="H215" s="2" t="n">
        <f aca="false">ROUND(F215/G215*100,0)</f>
        <v>75</v>
      </c>
      <c r="I215" s="2" t="str">
        <f aca="false">IF(H215&gt;=workload_config!$B$2,"Overloaded",IF(H215&lt;workload_config!$B$3,"Underutilized","Optimal"))</f>
        <v>Optimal</v>
      </c>
      <c r="J215" s="2" t="n">
        <v>3</v>
      </c>
      <c r="K215" s="2" t="n">
        <v>20</v>
      </c>
      <c r="L215" s="2" t="n">
        <v>10</v>
      </c>
      <c r="M215" s="2" t="n">
        <v>0</v>
      </c>
    </row>
    <row r="216" customFormat="false" ht="15" hidden="false" customHeight="false" outlineLevel="0" collapsed="false">
      <c r="A216" s="2" t="s">
        <v>192</v>
      </c>
      <c r="B216" s="2" t="s">
        <v>64</v>
      </c>
      <c r="C216" s="2" t="s">
        <v>136</v>
      </c>
      <c r="D216" s="2" t="s">
        <v>137</v>
      </c>
      <c r="E216" s="2" t="s">
        <v>119</v>
      </c>
      <c r="F216" s="2" t="n">
        <v>25</v>
      </c>
      <c r="G216" s="2" t="n">
        <v>40</v>
      </c>
      <c r="H216" s="2" t="n">
        <f aca="false">ROUND(F216/G216*100,0)</f>
        <v>63</v>
      </c>
      <c r="I216" s="2" t="str">
        <f aca="false">IF(H216&gt;=workload_config!$B$2,"Overloaded",IF(H216&lt;workload_config!$B$3,"Underutilized","Optimal"))</f>
        <v>Optimal</v>
      </c>
      <c r="J216" s="2" t="n">
        <v>2</v>
      </c>
      <c r="K216" s="2" t="n">
        <v>25</v>
      </c>
      <c r="L216" s="2" t="n">
        <v>0</v>
      </c>
      <c r="M216" s="2" t="n">
        <v>0</v>
      </c>
    </row>
    <row r="217" customFormat="false" ht="15" hidden="false" customHeight="false" outlineLevel="0" collapsed="false">
      <c r="A217" s="2" t="s">
        <v>192</v>
      </c>
      <c r="B217" s="2" t="s">
        <v>64</v>
      </c>
      <c r="C217" s="2" t="s">
        <v>138</v>
      </c>
      <c r="D217" s="2" t="s">
        <v>139</v>
      </c>
      <c r="E217" s="2" t="s">
        <v>119</v>
      </c>
      <c r="F217" s="2" t="n">
        <v>14</v>
      </c>
      <c r="G217" s="2" t="n">
        <v>40</v>
      </c>
      <c r="H217" s="2" t="n">
        <f aca="false">ROUND(F217/G217*100,0)</f>
        <v>35</v>
      </c>
      <c r="I217" s="2" t="str">
        <f aca="false">IF(H217&gt;=workload_config!$B$2,"Overloaded",IF(H217&lt;workload_config!$B$3,"Underutilized","Optimal"))</f>
        <v>Underutilized</v>
      </c>
      <c r="J217" s="2" t="n">
        <v>1</v>
      </c>
      <c r="K217" s="2" t="n">
        <v>14</v>
      </c>
      <c r="L217" s="2" t="n">
        <v>0</v>
      </c>
      <c r="M217" s="2" t="n">
        <v>0</v>
      </c>
    </row>
    <row r="218" customFormat="false" ht="15" hidden="false" customHeight="false" outlineLevel="0" collapsed="false">
      <c r="A218" s="2" t="s">
        <v>192</v>
      </c>
      <c r="B218" s="2" t="s">
        <v>64</v>
      </c>
      <c r="C218" s="2" t="s">
        <v>140</v>
      </c>
      <c r="D218" s="2" t="s">
        <v>141</v>
      </c>
      <c r="E218" s="2" t="s">
        <v>119</v>
      </c>
      <c r="F218" s="2" t="n">
        <v>13</v>
      </c>
      <c r="G218" s="2" t="n">
        <v>40</v>
      </c>
      <c r="H218" s="2" t="n">
        <f aca="false">ROUND(F218/G218*100,0)</f>
        <v>33</v>
      </c>
      <c r="I218" s="2" t="str">
        <f aca="false">IF(H218&gt;=workload_config!$B$2,"Overloaded",IF(H218&lt;workload_config!$B$3,"Underutilized","Optimal"))</f>
        <v>Underutilized</v>
      </c>
      <c r="J218" s="2" t="n">
        <v>1</v>
      </c>
      <c r="K218" s="2" t="n">
        <v>13</v>
      </c>
      <c r="L218" s="2" t="n">
        <v>0</v>
      </c>
      <c r="M218" s="2" t="n">
        <v>0</v>
      </c>
    </row>
    <row r="219" customFormat="false" ht="15" hidden="false" customHeight="false" outlineLevel="0" collapsed="false">
      <c r="A219" s="2" t="s">
        <v>192</v>
      </c>
      <c r="B219" s="2" t="s">
        <v>64</v>
      </c>
      <c r="C219" s="2" t="s">
        <v>142</v>
      </c>
      <c r="D219" s="2" t="s">
        <v>143</v>
      </c>
      <c r="E219" s="2" t="s">
        <v>119</v>
      </c>
      <c r="F219" s="2" t="n">
        <v>16</v>
      </c>
      <c r="G219" s="2" t="n">
        <v>40</v>
      </c>
      <c r="H219" s="2" t="n">
        <f aca="false">ROUND(F219/G219*100,0)</f>
        <v>40</v>
      </c>
      <c r="I219" s="2" t="str">
        <f aca="false">IF(H219&gt;=workload_config!$B$2,"Overloaded",IF(H219&lt;workload_config!$B$3,"Underutilized","Optimal"))</f>
        <v>Underutilized</v>
      </c>
      <c r="J219" s="2" t="n">
        <v>2</v>
      </c>
      <c r="K219" s="2" t="n">
        <v>5</v>
      </c>
      <c r="L219" s="2" t="n">
        <v>11</v>
      </c>
      <c r="M219" s="2" t="n">
        <v>0</v>
      </c>
    </row>
    <row r="220" customFormat="false" ht="15" hidden="false" customHeight="false" outlineLevel="0" collapsed="false">
      <c r="A220" s="2" t="s">
        <v>192</v>
      </c>
      <c r="B220" s="2" t="s">
        <v>64</v>
      </c>
      <c r="C220" s="2" t="s">
        <v>144</v>
      </c>
      <c r="D220" s="2" t="s">
        <v>145</v>
      </c>
      <c r="E220" s="2" t="s">
        <v>146</v>
      </c>
      <c r="F220" s="2" t="n">
        <v>14</v>
      </c>
      <c r="G220" s="2" t="n">
        <v>40</v>
      </c>
      <c r="H220" s="2" t="n">
        <f aca="false">ROUND(F220/G220*100,0)</f>
        <v>35</v>
      </c>
      <c r="I220" s="2" t="str">
        <f aca="false">IF(H220&gt;=workload_config!$B$2,"Overloaded",IF(H220&lt;workload_config!$B$3,"Underutilized","Optimal"))</f>
        <v>Underutilized</v>
      </c>
      <c r="J220" s="2" t="n">
        <v>1</v>
      </c>
      <c r="K220" s="2" t="n">
        <v>14</v>
      </c>
      <c r="L220" s="2" t="n">
        <v>0</v>
      </c>
      <c r="M220" s="2" t="n">
        <v>0</v>
      </c>
    </row>
    <row r="221" customFormat="false" ht="15" hidden="false" customHeight="false" outlineLevel="0" collapsed="false">
      <c r="A221" s="2" t="s">
        <v>192</v>
      </c>
      <c r="B221" s="2" t="s">
        <v>64</v>
      </c>
      <c r="C221" s="2" t="s">
        <v>147</v>
      </c>
      <c r="D221" s="2" t="s">
        <v>148</v>
      </c>
      <c r="E221" s="2" t="s">
        <v>146</v>
      </c>
      <c r="F221" s="2" t="n">
        <v>11</v>
      </c>
      <c r="G221" s="2" t="n">
        <v>40</v>
      </c>
      <c r="H221" s="2" t="n">
        <f aca="false">ROUND(F221/G221*100,0)</f>
        <v>28</v>
      </c>
      <c r="I221" s="2" t="str">
        <f aca="false">IF(H221&gt;=workload_config!$B$2,"Overloaded",IF(H221&lt;workload_config!$B$3,"Underutilized","Optimal"))</f>
        <v>Underutilized</v>
      </c>
      <c r="J221" s="2" t="n">
        <v>1</v>
      </c>
      <c r="K221" s="2" t="n">
        <v>0</v>
      </c>
      <c r="L221" s="2" t="n">
        <v>11</v>
      </c>
      <c r="M221" s="2" t="n">
        <v>0</v>
      </c>
    </row>
    <row r="222" customFormat="false" ht="15" hidden="false" customHeight="false" outlineLevel="0" collapsed="false">
      <c r="A222" s="2" t="s">
        <v>192</v>
      </c>
      <c r="B222" s="2" t="s">
        <v>64</v>
      </c>
      <c r="C222" s="2" t="s">
        <v>149</v>
      </c>
      <c r="D222" s="2" t="s">
        <v>150</v>
      </c>
      <c r="E222" s="2" t="s">
        <v>146</v>
      </c>
      <c r="F222" s="2" t="n">
        <v>20</v>
      </c>
      <c r="G222" s="2" t="n">
        <v>40</v>
      </c>
      <c r="H222" s="2" t="n">
        <f aca="false">ROUND(F222/G222*100,0)</f>
        <v>50</v>
      </c>
      <c r="I222" s="2" t="str">
        <f aca="false">IF(H222&gt;=workload_config!$B$2,"Overloaded",IF(H222&lt;workload_config!$B$3,"Underutilized","Optimal"))</f>
        <v>Optimal</v>
      </c>
      <c r="J222" s="2" t="n">
        <v>2</v>
      </c>
      <c r="K222" s="2" t="n">
        <v>20</v>
      </c>
      <c r="L222" s="2" t="n">
        <v>0</v>
      </c>
      <c r="M222" s="2" t="n">
        <v>0</v>
      </c>
    </row>
    <row r="223" customFormat="false" ht="15" hidden="false" customHeight="false" outlineLevel="0" collapsed="false">
      <c r="A223" s="2" t="s">
        <v>192</v>
      </c>
      <c r="B223" s="2" t="s">
        <v>64</v>
      </c>
      <c r="C223" s="2" t="s">
        <v>151</v>
      </c>
      <c r="D223" s="2" t="s">
        <v>152</v>
      </c>
      <c r="E223" s="2" t="s">
        <v>146</v>
      </c>
      <c r="F223" s="2" t="n">
        <v>19</v>
      </c>
      <c r="G223" s="2" t="n">
        <v>40</v>
      </c>
      <c r="H223" s="2" t="n">
        <f aca="false">ROUND(F223/G223*100,0)</f>
        <v>48</v>
      </c>
      <c r="I223" s="2" t="str">
        <f aca="false">IF(H223&gt;=workload_config!$B$2,"Overloaded",IF(H223&lt;workload_config!$B$3,"Underutilized","Optimal"))</f>
        <v>Underutilized</v>
      </c>
      <c r="J223" s="2" t="n">
        <v>2</v>
      </c>
      <c r="K223" s="2" t="n">
        <v>19</v>
      </c>
      <c r="L223" s="2" t="n">
        <v>0</v>
      </c>
      <c r="M223" s="2" t="n">
        <v>0</v>
      </c>
    </row>
    <row r="224" customFormat="false" ht="15" hidden="false" customHeight="false" outlineLevel="0" collapsed="false">
      <c r="A224" s="2" t="s">
        <v>192</v>
      </c>
      <c r="B224" s="2" t="s">
        <v>64</v>
      </c>
      <c r="C224" s="2" t="s">
        <v>153</v>
      </c>
      <c r="D224" s="2" t="s">
        <v>154</v>
      </c>
      <c r="E224" s="2" t="s">
        <v>146</v>
      </c>
      <c r="F224" s="2" t="n">
        <v>24</v>
      </c>
      <c r="G224" s="2" t="n">
        <v>40</v>
      </c>
      <c r="H224" s="2" t="n">
        <f aca="false">ROUND(F224/G224*100,0)</f>
        <v>60</v>
      </c>
      <c r="I224" s="2" t="str">
        <f aca="false">IF(H224&gt;=workload_config!$B$2,"Overloaded",IF(H224&lt;workload_config!$B$3,"Underutilized","Optimal"))</f>
        <v>Optimal</v>
      </c>
      <c r="J224" s="2" t="n">
        <v>2</v>
      </c>
      <c r="K224" s="2" t="n">
        <v>24</v>
      </c>
      <c r="L224" s="2" t="n">
        <v>0</v>
      </c>
      <c r="M224" s="2" t="n">
        <v>0</v>
      </c>
    </row>
    <row r="225" customFormat="false" ht="15" hidden="false" customHeight="false" outlineLevel="0" collapsed="false">
      <c r="A225" s="2" t="s">
        <v>192</v>
      </c>
      <c r="B225" s="2" t="s">
        <v>64</v>
      </c>
      <c r="C225" s="2" t="s">
        <v>155</v>
      </c>
      <c r="D225" s="2" t="s">
        <v>156</v>
      </c>
      <c r="E225" s="2" t="s">
        <v>146</v>
      </c>
      <c r="F225" s="2" t="n">
        <v>40</v>
      </c>
      <c r="G225" s="2" t="n">
        <v>40</v>
      </c>
      <c r="H225" s="2" t="n">
        <f aca="false">ROUND(F225/G225*100,0)</f>
        <v>100</v>
      </c>
      <c r="I225" s="2" t="str">
        <f aca="false">IF(H225&gt;=workload_config!$B$2,"Overloaded",IF(H225&lt;workload_config!$B$3,"Underutilized","Optimal"))</f>
        <v>Overloaded</v>
      </c>
      <c r="J225" s="2" t="n">
        <v>4</v>
      </c>
      <c r="K225" s="2" t="n">
        <v>40</v>
      </c>
      <c r="L225" s="2" t="n">
        <v>0</v>
      </c>
      <c r="M225" s="2" t="n">
        <v>0</v>
      </c>
    </row>
    <row r="226" customFormat="false" ht="15" hidden="false" customHeight="false" outlineLevel="0" collapsed="false">
      <c r="A226" s="2" t="s">
        <v>192</v>
      </c>
      <c r="B226" s="2" t="s">
        <v>64</v>
      </c>
      <c r="C226" s="2" t="s">
        <v>157</v>
      </c>
      <c r="D226" s="2" t="s">
        <v>158</v>
      </c>
      <c r="E226" s="2" t="s">
        <v>146</v>
      </c>
      <c r="F226" s="2" t="n">
        <v>9</v>
      </c>
      <c r="G226" s="2" t="n">
        <v>40</v>
      </c>
      <c r="H226" s="2" t="n">
        <f aca="false">ROUND(F226/G226*100,0)</f>
        <v>23</v>
      </c>
      <c r="I226" s="2" t="str">
        <f aca="false">IF(H226&gt;=workload_config!$B$2,"Overloaded",IF(H226&lt;workload_config!$B$3,"Underutilized","Optimal"))</f>
        <v>Underutilized</v>
      </c>
      <c r="J226" s="2" t="n">
        <v>1</v>
      </c>
      <c r="K226" s="2" t="n">
        <v>9</v>
      </c>
      <c r="L226" s="2" t="n">
        <v>0</v>
      </c>
      <c r="M226" s="2" t="n">
        <v>0</v>
      </c>
    </row>
    <row r="227" customFormat="false" ht="15" hidden="false" customHeight="false" outlineLevel="0" collapsed="false">
      <c r="A227" s="2" t="s">
        <v>192</v>
      </c>
      <c r="B227" s="2" t="s">
        <v>64</v>
      </c>
      <c r="C227" s="2" t="s">
        <v>159</v>
      </c>
      <c r="D227" s="2" t="s">
        <v>160</v>
      </c>
      <c r="E227" s="2" t="s">
        <v>146</v>
      </c>
      <c r="F227" s="2" t="n">
        <v>11</v>
      </c>
      <c r="G227" s="2" t="n">
        <v>40</v>
      </c>
      <c r="H227" s="2" t="n">
        <f aca="false">ROUND(F227/G227*100,0)</f>
        <v>28</v>
      </c>
      <c r="I227" s="2" t="str">
        <f aca="false">IF(H227&gt;=workload_config!$B$2,"Overloaded",IF(H227&lt;workload_config!$B$3,"Underutilized","Optimal"))</f>
        <v>Underutilized</v>
      </c>
      <c r="J227" s="2" t="n">
        <v>1</v>
      </c>
      <c r="K227" s="2" t="n">
        <v>11</v>
      </c>
      <c r="L227" s="2" t="n">
        <v>0</v>
      </c>
      <c r="M227" s="2" t="n">
        <v>0</v>
      </c>
    </row>
    <row r="228" customFormat="false" ht="15" hidden="false" customHeight="false" outlineLevel="0" collapsed="false">
      <c r="A228" s="2" t="s">
        <v>192</v>
      </c>
      <c r="B228" s="2" t="s">
        <v>64</v>
      </c>
      <c r="C228" s="2" t="s">
        <v>161</v>
      </c>
      <c r="D228" s="2" t="s">
        <v>162</v>
      </c>
      <c r="E228" s="2" t="s">
        <v>146</v>
      </c>
      <c r="F228" s="2" t="n">
        <v>14</v>
      </c>
      <c r="G228" s="2" t="n">
        <v>40</v>
      </c>
      <c r="H228" s="2" t="n">
        <f aca="false">ROUND(F228/G228*100,0)</f>
        <v>35</v>
      </c>
      <c r="I228" s="2" t="str">
        <f aca="false">IF(H228&gt;=workload_config!$B$2,"Overloaded",IF(H228&lt;workload_config!$B$3,"Underutilized","Optimal"))</f>
        <v>Underutilized</v>
      </c>
      <c r="J228" s="2" t="n">
        <v>1</v>
      </c>
      <c r="K228" s="2" t="n">
        <v>14</v>
      </c>
      <c r="L228" s="2" t="n">
        <v>0</v>
      </c>
      <c r="M228" s="2" t="n">
        <v>0</v>
      </c>
    </row>
    <row r="229" customFormat="false" ht="15" hidden="false" customHeight="false" outlineLevel="0" collapsed="false">
      <c r="A229" s="2" t="s">
        <v>192</v>
      </c>
      <c r="B229" s="2" t="s">
        <v>64</v>
      </c>
      <c r="C229" s="2" t="s">
        <v>163</v>
      </c>
      <c r="D229" s="2" t="s">
        <v>164</v>
      </c>
      <c r="E229" s="2" t="s">
        <v>146</v>
      </c>
      <c r="F229" s="2" t="n">
        <v>21</v>
      </c>
      <c r="G229" s="2" t="n">
        <v>40</v>
      </c>
      <c r="H229" s="2" t="n">
        <f aca="false">ROUND(F229/G229*100,0)</f>
        <v>53</v>
      </c>
      <c r="I229" s="2" t="str">
        <f aca="false">IF(H229&gt;=workload_config!$B$2,"Overloaded",IF(H229&lt;workload_config!$B$3,"Underutilized","Optimal"))</f>
        <v>Optimal</v>
      </c>
      <c r="J229" s="2" t="n">
        <v>2</v>
      </c>
      <c r="K229" s="2" t="n">
        <v>21</v>
      </c>
      <c r="L229" s="2" t="n">
        <v>0</v>
      </c>
      <c r="M229" s="2" t="n">
        <v>0</v>
      </c>
    </row>
    <row r="230" customFormat="false" ht="15" hidden="false" customHeight="false" outlineLevel="0" collapsed="false">
      <c r="A230" s="2" t="s">
        <v>192</v>
      </c>
      <c r="B230" s="2" t="s">
        <v>64</v>
      </c>
      <c r="C230" s="2" t="s">
        <v>165</v>
      </c>
      <c r="D230" s="2" t="s">
        <v>166</v>
      </c>
      <c r="E230" s="2" t="s">
        <v>146</v>
      </c>
      <c r="F230" s="2" t="n">
        <v>10</v>
      </c>
      <c r="G230" s="2" t="n">
        <v>40</v>
      </c>
      <c r="H230" s="2" t="n">
        <f aca="false">ROUND(F230/G230*100,0)</f>
        <v>25</v>
      </c>
      <c r="I230" s="2" t="str">
        <f aca="false">IF(H230&gt;=workload_config!$B$2,"Overloaded",IF(H230&lt;workload_config!$B$3,"Underutilized","Optimal"))</f>
        <v>Underutilized</v>
      </c>
      <c r="J230" s="2" t="n">
        <v>1</v>
      </c>
      <c r="K230" s="2" t="n">
        <v>10</v>
      </c>
      <c r="L230" s="2" t="n">
        <v>0</v>
      </c>
      <c r="M230" s="2" t="n">
        <v>0</v>
      </c>
    </row>
    <row r="231" customFormat="false" ht="15" hidden="false" customHeight="false" outlineLevel="0" collapsed="false">
      <c r="A231" s="2" t="s">
        <v>192</v>
      </c>
      <c r="B231" s="2" t="s">
        <v>64</v>
      </c>
      <c r="C231" s="2" t="s">
        <v>167</v>
      </c>
      <c r="D231" s="2" t="s">
        <v>168</v>
      </c>
      <c r="E231" s="2" t="s">
        <v>169</v>
      </c>
      <c r="F231" s="2" t="n">
        <v>35</v>
      </c>
      <c r="G231" s="2" t="n">
        <v>40</v>
      </c>
      <c r="H231" s="2" t="n">
        <f aca="false">ROUND(F231/G231*100,0)</f>
        <v>88</v>
      </c>
      <c r="I231" s="2" t="str">
        <f aca="false">IF(H231&gt;=workload_config!$B$2,"Overloaded",IF(H231&lt;workload_config!$B$3,"Underutilized","Optimal"))</f>
        <v>Overloaded</v>
      </c>
      <c r="J231" s="2" t="n">
        <v>4</v>
      </c>
      <c r="K231" s="2" t="n">
        <v>17</v>
      </c>
      <c r="L231" s="2" t="n">
        <v>18</v>
      </c>
      <c r="M231" s="2" t="n">
        <v>0</v>
      </c>
    </row>
    <row r="232" customFormat="false" ht="15" hidden="false" customHeight="false" outlineLevel="0" collapsed="false">
      <c r="A232" s="2" t="s">
        <v>192</v>
      </c>
      <c r="B232" s="2" t="s">
        <v>64</v>
      </c>
      <c r="C232" s="2" t="s">
        <v>170</v>
      </c>
      <c r="D232" s="2" t="s">
        <v>171</v>
      </c>
      <c r="E232" s="2" t="s">
        <v>169</v>
      </c>
      <c r="F232" s="2" t="n">
        <v>26</v>
      </c>
      <c r="G232" s="2" t="n">
        <v>40</v>
      </c>
      <c r="H232" s="2" t="n">
        <f aca="false">ROUND(F232/G232*100,0)</f>
        <v>65</v>
      </c>
      <c r="I232" s="2" t="str">
        <f aca="false">IF(H232&gt;=workload_config!$B$2,"Overloaded",IF(H232&lt;workload_config!$B$3,"Underutilized","Optimal"))</f>
        <v>Optimal</v>
      </c>
      <c r="J232" s="2" t="n">
        <v>3</v>
      </c>
      <c r="K232" s="2" t="n">
        <v>26</v>
      </c>
      <c r="L232" s="2" t="n">
        <v>0</v>
      </c>
      <c r="M232" s="2" t="n">
        <v>0</v>
      </c>
    </row>
    <row r="233" customFormat="false" ht="15" hidden="false" customHeight="false" outlineLevel="0" collapsed="false">
      <c r="A233" s="2" t="s">
        <v>192</v>
      </c>
      <c r="B233" s="2" t="s">
        <v>64</v>
      </c>
      <c r="C233" s="2" t="s">
        <v>172</v>
      </c>
      <c r="D233" s="2" t="s">
        <v>173</v>
      </c>
      <c r="E233" s="2" t="s">
        <v>169</v>
      </c>
      <c r="F233" s="2" t="n">
        <v>9</v>
      </c>
      <c r="G233" s="2" t="n">
        <v>40</v>
      </c>
      <c r="H233" s="2" t="n">
        <f aca="false">ROUND(F233/G233*100,0)</f>
        <v>23</v>
      </c>
      <c r="I233" s="2" t="str">
        <f aca="false">IF(H233&gt;=workload_config!$B$2,"Overloaded",IF(H233&lt;workload_config!$B$3,"Underutilized","Optimal"))</f>
        <v>Underutilized</v>
      </c>
      <c r="J233" s="2" t="n">
        <v>1</v>
      </c>
      <c r="K233" s="2" t="n">
        <v>9</v>
      </c>
      <c r="L233" s="2" t="n">
        <v>0</v>
      </c>
      <c r="M233" s="2" t="n">
        <v>0</v>
      </c>
    </row>
    <row r="234" customFormat="false" ht="15" hidden="false" customHeight="false" outlineLevel="0" collapsed="false">
      <c r="A234" s="2" t="s">
        <v>192</v>
      </c>
      <c r="B234" s="2" t="s">
        <v>64</v>
      </c>
      <c r="C234" s="2" t="s">
        <v>174</v>
      </c>
      <c r="D234" s="2" t="s">
        <v>175</v>
      </c>
      <c r="E234" s="2" t="s">
        <v>169</v>
      </c>
      <c r="F234" s="2" t="n">
        <v>7</v>
      </c>
      <c r="G234" s="2" t="n">
        <v>40</v>
      </c>
      <c r="H234" s="2" t="n">
        <f aca="false">ROUND(F234/G234*100,0)</f>
        <v>18</v>
      </c>
      <c r="I234" s="2" t="str">
        <f aca="false">IF(H234&gt;=workload_config!$B$2,"Overloaded",IF(H234&lt;workload_config!$B$3,"Underutilized","Optimal"))</f>
        <v>Underutilized</v>
      </c>
      <c r="J234" s="2" t="n">
        <v>1</v>
      </c>
      <c r="K234" s="2" t="n">
        <v>7</v>
      </c>
      <c r="L234" s="2" t="n">
        <v>0</v>
      </c>
      <c r="M234" s="2" t="n">
        <v>0</v>
      </c>
    </row>
    <row r="235" customFormat="false" ht="15" hidden="false" customHeight="false" outlineLevel="0" collapsed="false">
      <c r="A235" s="2" t="s">
        <v>192</v>
      </c>
      <c r="B235" s="2" t="s">
        <v>64</v>
      </c>
      <c r="C235" s="2" t="s">
        <v>176</v>
      </c>
      <c r="D235" s="2" t="s">
        <v>177</v>
      </c>
      <c r="E235" s="2" t="s">
        <v>169</v>
      </c>
      <c r="F235" s="2" t="n">
        <v>27</v>
      </c>
      <c r="G235" s="2" t="n">
        <v>40</v>
      </c>
      <c r="H235" s="2" t="n">
        <f aca="false">ROUND(F235/G235*100,0)</f>
        <v>68</v>
      </c>
      <c r="I235" s="2" t="str">
        <f aca="false">IF(H235&gt;=workload_config!$B$2,"Overloaded",IF(H235&lt;workload_config!$B$3,"Underutilized","Optimal"))</f>
        <v>Optimal</v>
      </c>
      <c r="J235" s="2" t="n">
        <v>3</v>
      </c>
      <c r="K235" s="2" t="n">
        <v>27</v>
      </c>
      <c r="L235" s="2" t="n">
        <v>0</v>
      </c>
      <c r="M235" s="2" t="n">
        <v>0</v>
      </c>
    </row>
    <row r="236" customFormat="false" ht="15" hidden="false" customHeight="false" outlineLevel="0" collapsed="false">
      <c r="A236" s="2" t="s">
        <v>192</v>
      </c>
      <c r="B236" s="2" t="s">
        <v>64</v>
      </c>
      <c r="C236" s="2" t="s">
        <v>178</v>
      </c>
      <c r="D236" s="2" t="s">
        <v>179</v>
      </c>
      <c r="E236" s="2" t="s">
        <v>169</v>
      </c>
      <c r="F236" s="2" t="n">
        <v>0</v>
      </c>
      <c r="G236" s="2" t="n">
        <v>40</v>
      </c>
      <c r="H236" s="2" t="n">
        <f aca="false">ROUND(F236/G236*100,0)</f>
        <v>0</v>
      </c>
      <c r="I236" s="2" t="str">
        <f aca="false">IF(H236&gt;=workload_config!$B$2,"Overloaded",IF(H236&lt;workload_config!$B$3,"Underutilized","Optimal"))</f>
        <v>Underutilized</v>
      </c>
      <c r="J236" s="2" t="n">
        <v>0</v>
      </c>
      <c r="K236" s="2" t="n">
        <v>0</v>
      </c>
      <c r="L236" s="2" t="n">
        <v>0</v>
      </c>
      <c r="M236" s="2" t="n">
        <v>0</v>
      </c>
    </row>
    <row r="237" customFormat="false" ht="15" hidden="false" customHeight="false" outlineLevel="0" collapsed="false">
      <c r="A237" s="2" t="s">
        <v>192</v>
      </c>
      <c r="B237" s="2" t="s">
        <v>64</v>
      </c>
      <c r="C237" s="2" t="s">
        <v>180</v>
      </c>
      <c r="D237" s="2" t="s">
        <v>181</v>
      </c>
      <c r="E237" s="2" t="s">
        <v>169</v>
      </c>
      <c r="F237" s="2" t="n">
        <v>0</v>
      </c>
      <c r="G237" s="2" t="n">
        <v>32</v>
      </c>
      <c r="H237" s="2" t="n">
        <f aca="false">ROUND(F237/G237*100,0)</f>
        <v>0</v>
      </c>
      <c r="I237" s="2" t="str">
        <f aca="false">IF(H237&gt;=workload_config!$B$2,"Overloaded",IF(H237&lt;workload_config!$B$3,"Underutilized","Optimal"))</f>
        <v>Underutilized</v>
      </c>
      <c r="J237" s="2" t="n">
        <v>0</v>
      </c>
      <c r="K237" s="2" t="n">
        <v>0</v>
      </c>
      <c r="L237" s="2" t="n">
        <v>0</v>
      </c>
      <c r="M237" s="2" t="n">
        <v>0</v>
      </c>
    </row>
    <row r="238" customFormat="false" ht="15" hidden="false" customHeight="false" outlineLevel="0" collapsed="false">
      <c r="A238" s="2" t="s">
        <v>192</v>
      </c>
      <c r="B238" s="2" t="s">
        <v>64</v>
      </c>
      <c r="C238" s="2" t="s">
        <v>182</v>
      </c>
      <c r="D238" s="2" t="s">
        <v>183</v>
      </c>
      <c r="E238" s="2" t="s">
        <v>169</v>
      </c>
      <c r="F238" s="2" t="n">
        <v>9</v>
      </c>
      <c r="G238" s="2" t="n">
        <v>20</v>
      </c>
      <c r="H238" s="2" t="n">
        <f aca="false">ROUND(F238/G238*100,0)</f>
        <v>45</v>
      </c>
      <c r="I238" s="2" t="str">
        <f aca="false">IF(H238&gt;=workload_config!$B$2,"Overloaded",IF(H238&lt;workload_config!$B$3,"Underutilized","Optimal"))</f>
        <v>Underutilized</v>
      </c>
      <c r="J238" s="2" t="n">
        <v>1</v>
      </c>
      <c r="K238" s="2" t="n">
        <v>9</v>
      </c>
      <c r="L238" s="2" t="n">
        <v>0</v>
      </c>
      <c r="M238" s="2" t="n">
        <v>0</v>
      </c>
    </row>
    <row r="239" customFormat="false" ht="15" hidden="false" customHeight="false" outlineLevel="0" collapsed="false">
      <c r="A239" s="2" t="s">
        <v>192</v>
      </c>
      <c r="B239" s="2" t="s">
        <v>64</v>
      </c>
      <c r="C239" s="2" t="s">
        <v>184</v>
      </c>
      <c r="D239" s="2" t="s">
        <v>185</v>
      </c>
      <c r="E239" s="2" t="s">
        <v>169</v>
      </c>
      <c r="F239" s="2" t="n">
        <v>25</v>
      </c>
      <c r="G239" s="2" t="n">
        <v>32</v>
      </c>
      <c r="H239" s="2" t="n">
        <f aca="false">ROUND(F239/G239*100,0)</f>
        <v>78</v>
      </c>
      <c r="I239" s="2" t="str">
        <f aca="false">IF(H239&gt;=workload_config!$B$2,"Overloaded",IF(H239&lt;workload_config!$B$3,"Underutilized","Optimal"))</f>
        <v>Optimal</v>
      </c>
      <c r="J239" s="2" t="n">
        <v>2</v>
      </c>
      <c r="K239" s="2" t="n">
        <v>25</v>
      </c>
      <c r="L239" s="2" t="n">
        <v>0</v>
      </c>
      <c r="M239" s="2" t="n">
        <v>0</v>
      </c>
    </row>
    <row r="240" customFormat="false" ht="15" hidden="false" customHeight="false" outlineLevel="0" collapsed="false">
      <c r="A240" s="2" t="s">
        <v>192</v>
      </c>
      <c r="B240" s="2" t="s">
        <v>64</v>
      </c>
      <c r="C240" s="2" t="s">
        <v>186</v>
      </c>
      <c r="D240" s="2" t="s">
        <v>187</v>
      </c>
      <c r="E240" s="2" t="s">
        <v>169</v>
      </c>
      <c r="F240" s="2" t="n">
        <v>9</v>
      </c>
      <c r="G240" s="2" t="n">
        <v>40</v>
      </c>
      <c r="H240" s="2" t="n">
        <f aca="false">ROUND(F240/G240*100,0)</f>
        <v>23</v>
      </c>
      <c r="I240" s="2" t="str">
        <f aca="false">IF(H240&gt;=workload_config!$B$2,"Overloaded",IF(H240&lt;workload_config!$B$3,"Underutilized","Optimal"))</f>
        <v>Underutilized</v>
      </c>
      <c r="J240" s="2" t="n">
        <v>1</v>
      </c>
      <c r="K240" s="2" t="n">
        <v>9</v>
      </c>
      <c r="L240" s="2" t="n">
        <v>0</v>
      </c>
      <c r="M240" s="2" t="n">
        <v>0</v>
      </c>
    </row>
    <row r="241" customFormat="false" ht="15" hidden="false" customHeight="false" outlineLevel="0" collapsed="false">
      <c r="A241" s="2" t="s">
        <v>192</v>
      </c>
      <c r="B241" s="2" t="s">
        <v>64</v>
      </c>
      <c r="C241" s="2" t="s">
        <v>188</v>
      </c>
      <c r="D241" s="2" t="s">
        <v>189</v>
      </c>
      <c r="E241" s="2" t="s">
        <v>169</v>
      </c>
      <c r="F241" s="2" t="n">
        <v>12</v>
      </c>
      <c r="G241" s="2" t="n">
        <v>40</v>
      </c>
      <c r="H241" s="2" t="n">
        <f aca="false">ROUND(F241/G241*100,0)</f>
        <v>30</v>
      </c>
      <c r="I241" s="2" t="str">
        <f aca="false">IF(H241&gt;=workload_config!$B$2,"Overloaded",IF(H241&lt;workload_config!$B$3,"Underutilized","Optimal"))</f>
        <v>Underutilized</v>
      </c>
      <c r="J241" s="2" t="n">
        <v>1</v>
      </c>
      <c r="K241" s="2" t="n">
        <v>12</v>
      </c>
      <c r="L241" s="2" t="n">
        <v>0</v>
      </c>
      <c r="M241" s="2" t="n">
        <v>0</v>
      </c>
    </row>
    <row r="242" customFormat="false" ht="15" hidden="false" customHeight="false" outlineLevel="0" collapsed="false">
      <c r="A242" s="2" t="s">
        <v>193</v>
      </c>
      <c r="B242" s="2" t="s">
        <v>64</v>
      </c>
      <c r="C242" s="2" t="s">
        <v>65</v>
      </c>
      <c r="D242" s="2" t="s">
        <v>66</v>
      </c>
      <c r="E242" s="2" t="s">
        <v>67</v>
      </c>
      <c r="F242" s="2" t="n">
        <v>47</v>
      </c>
      <c r="G242" s="2" t="n">
        <v>40</v>
      </c>
      <c r="H242" s="2" t="n">
        <f aca="false">ROUND(F242/G242*100,0)</f>
        <v>118</v>
      </c>
      <c r="I242" s="2" t="str">
        <f aca="false">IF(H242&gt;=workload_config!$B$2,"Overloaded",IF(H242&lt;workload_config!$B$3,"Underutilized","Optimal"))</f>
        <v>Overloaded</v>
      </c>
      <c r="J242" s="2" t="n">
        <v>5</v>
      </c>
      <c r="K242" s="2" t="n">
        <v>27</v>
      </c>
      <c r="L242" s="2" t="n">
        <v>20</v>
      </c>
      <c r="M242" s="2" t="n">
        <v>7</v>
      </c>
    </row>
    <row r="243" customFormat="false" ht="15" hidden="false" customHeight="false" outlineLevel="0" collapsed="false">
      <c r="A243" s="2" t="s">
        <v>193</v>
      </c>
      <c r="B243" s="2" t="s">
        <v>64</v>
      </c>
      <c r="C243" s="2" t="s">
        <v>68</v>
      </c>
      <c r="D243" s="2" t="s">
        <v>69</v>
      </c>
      <c r="E243" s="2" t="s">
        <v>67</v>
      </c>
      <c r="F243" s="2" t="n">
        <v>16</v>
      </c>
      <c r="G243" s="2" t="n">
        <v>40</v>
      </c>
      <c r="H243" s="2" t="n">
        <f aca="false">ROUND(F243/G243*100,0)</f>
        <v>40</v>
      </c>
      <c r="I243" s="2" t="str">
        <f aca="false">IF(H243&gt;=workload_config!$B$2,"Overloaded",IF(H243&lt;workload_config!$B$3,"Underutilized","Optimal"))</f>
        <v>Underutilized</v>
      </c>
      <c r="J243" s="2" t="n">
        <v>2</v>
      </c>
      <c r="K243" s="2" t="n">
        <v>16</v>
      </c>
      <c r="L243" s="2" t="n">
        <v>0</v>
      </c>
      <c r="M243" s="2" t="n">
        <v>0</v>
      </c>
    </row>
    <row r="244" customFormat="false" ht="15" hidden="false" customHeight="false" outlineLevel="0" collapsed="false">
      <c r="A244" s="2" t="s">
        <v>193</v>
      </c>
      <c r="B244" s="2" t="s">
        <v>64</v>
      </c>
      <c r="C244" s="2" t="s">
        <v>70</v>
      </c>
      <c r="D244" s="2" t="s">
        <v>71</v>
      </c>
      <c r="E244" s="2" t="s">
        <v>67</v>
      </c>
      <c r="F244" s="2" t="n">
        <v>26</v>
      </c>
      <c r="G244" s="2" t="n">
        <v>40</v>
      </c>
      <c r="H244" s="2" t="n">
        <f aca="false">ROUND(F244/G244*100,0)</f>
        <v>65</v>
      </c>
      <c r="I244" s="2" t="str">
        <f aca="false">IF(H244&gt;=workload_config!$B$2,"Overloaded",IF(H244&lt;workload_config!$B$3,"Underutilized","Optimal"))</f>
        <v>Optimal</v>
      </c>
      <c r="J244" s="2" t="n">
        <v>2</v>
      </c>
      <c r="K244" s="2" t="n">
        <v>26</v>
      </c>
      <c r="L244" s="2" t="n">
        <v>0</v>
      </c>
      <c r="M244" s="2" t="n">
        <v>0</v>
      </c>
    </row>
    <row r="245" customFormat="false" ht="15" hidden="false" customHeight="false" outlineLevel="0" collapsed="false">
      <c r="A245" s="2" t="s">
        <v>193</v>
      </c>
      <c r="B245" s="2" t="s">
        <v>64</v>
      </c>
      <c r="C245" s="2" t="s">
        <v>72</v>
      </c>
      <c r="D245" s="2" t="s">
        <v>73</v>
      </c>
      <c r="E245" s="2" t="s">
        <v>67</v>
      </c>
      <c r="F245" s="2" t="n">
        <v>29</v>
      </c>
      <c r="G245" s="2" t="n">
        <v>40</v>
      </c>
      <c r="H245" s="2" t="n">
        <f aca="false">ROUND(F245/G245*100,0)</f>
        <v>73</v>
      </c>
      <c r="I245" s="2" t="str">
        <f aca="false">IF(H245&gt;=workload_config!$B$2,"Overloaded",IF(H245&lt;workload_config!$B$3,"Underutilized","Optimal"))</f>
        <v>Optimal</v>
      </c>
      <c r="J245" s="2" t="n">
        <v>3</v>
      </c>
      <c r="K245" s="2" t="n">
        <v>29</v>
      </c>
      <c r="L245" s="2" t="n">
        <v>0</v>
      </c>
      <c r="M245" s="2" t="n">
        <v>0</v>
      </c>
    </row>
    <row r="246" customFormat="false" ht="15" hidden="false" customHeight="false" outlineLevel="0" collapsed="false">
      <c r="A246" s="2" t="s">
        <v>193</v>
      </c>
      <c r="B246" s="2" t="s">
        <v>64</v>
      </c>
      <c r="C246" s="2" t="s">
        <v>74</v>
      </c>
      <c r="D246" s="2" t="s">
        <v>75</v>
      </c>
      <c r="E246" s="2" t="s">
        <v>67</v>
      </c>
      <c r="F246" s="2" t="n">
        <v>20</v>
      </c>
      <c r="G246" s="2" t="n">
        <v>40</v>
      </c>
      <c r="H246" s="2" t="n">
        <f aca="false">ROUND(F246/G246*100,0)</f>
        <v>50</v>
      </c>
      <c r="I246" s="2" t="str">
        <f aca="false">IF(H246&gt;=workload_config!$B$2,"Overloaded",IF(H246&lt;workload_config!$B$3,"Underutilized","Optimal"))</f>
        <v>Optimal</v>
      </c>
      <c r="J246" s="2" t="n">
        <v>2</v>
      </c>
      <c r="K246" s="2" t="n">
        <v>20</v>
      </c>
      <c r="L246" s="2" t="n">
        <v>0</v>
      </c>
      <c r="M246" s="2" t="n">
        <v>0</v>
      </c>
    </row>
    <row r="247" customFormat="false" ht="15" hidden="false" customHeight="false" outlineLevel="0" collapsed="false">
      <c r="A247" s="2" t="s">
        <v>193</v>
      </c>
      <c r="B247" s="2" t="s">
        <v>64</v>
      </c>
      <c r="C247" s="2" t="s">
        <v>76</v>
      </c>
      <c r="D247" s="2" t="s">
        <v>77</v>
      </c>
      <c r="E247" s="2" t="s">
        <v>67</v>
      </c>
      <c r="F247" s="2" t="n">
        <v>34</v>
      </c>
      <c r="G247" s="2" t="n">
        <v>40</v>
      </c>
      <c r="H247" s="2" t="n">
        <f aca="false">ROUND(F247/G247*100,0)</f>
        <v>85</v>
      </c>
      <c r="I247" s="2" t="str">
        <f aca="false">IF(H247&gt;=workload_config!$B$2,"Overloaded",IF(H247&lt;workload_config!$B$3,"Underutilized","Optimal"))</f>
        <v>Optimal</v>
      </c>
      <c r="J247" s="2" t="n">
        <v>3</v>
      </c>
      <c r="K247" s="2" t="n">
        <v>34</v>
      </c>
      <c r="L247" s="2" t="n">
        <v>0</v>
      </c>
      <c r="M247" s="2" t="n">
        <v>0</v>
      </c>
    </row>
    <row r="248" customFormat="false" ht="15" hidden="false" customHeight="false" outlineLevel="0" collapsed="false">
      <c r="A248" s="2" t="s">
        <v>193</v>
      </c>
      <c r="B248" s="2" t="s">
        <v>64</v>
      </c>
      <c r="C248" s="2" t="s">
        <v>78</v>
      </c>
      <c r="D248" s="2" t="s">
        <v>79</v>
      </c>
      <c r="E248" s="2" t="s">
        <v>67</v>
      </c>
      <c r="F248" s="2" t="n">
        <v>33</v>
      </c>
      <c r="G248" s="2" t="n">
        <v>40</v>
      </c>
      <c r="H248" s="2" t="n">
        <f aca="false">ROUND(F248/G248*100,0)</f>
        <v>83</v>
      </c>
      <c r="I248" s="2" t="str">
        <f aca="false">IF(H248&gt;=workload_config!$B$2,"Overloaded",IF(H248&lt;workload_config!$B$3,"Underutilized","Optimal"))</f>
        <v>Optimal</v>
      </c>
      <c r="J248" s="2" t="n">
        <v>3</v>
      </c>
      <c r="K248" s="2" t="n">
        <v>33</v>
      </c>
      <c r="L248" s="2" t="n">
        <v>0</v>
      </c>
      <c r="M248" s="2" t="n">
        <v>0</v>
      </c>
    </row>
    <row r="249" customFormat="false" ht="15" hidden="false" customHeight="false" outlineLevel="0" collapsed="false">
      <c r="A249" s="2" t="s">
        <v>193</v>
      </c>
      <c r="B249" s="2" t="s">
        <v>64</v>
      </c>
      <c r="C249" s="2" t="s">
        <v>80</v>
      </c>
      <c r="D249" s="2" t="s">
        <v>81</v>
      </c>
      <c r="E249" s="2" t="s">
        <v>67</v>
      </c>
      <c r="F249" s="2" t="n">
        <v>29</v>
      </c>
      <c r="G249" s="2" t="n">
        <v>40</v>
      </c>
      <c r="H249" s="2" t="n">
        <f aca="false">ROUND(F249/G249*100,0)</f>
        <v>73</v>
      </c>
      <c r="I249" s="2" t="str">
        <f aca="false">IF(H249&gt;=workload_config!$B$2,"Overloaded",IF(H249&lt;workload_config!$B$3,"Underutilized","Optimal"))</f>
        <v>Optimal</v>
      </c>
      <c r="J249" s="2" t="n">
        <v>3</v>
      </c>
      <c r="K249" s="2" t="n">
        <v>8</v>
      </c>
      <c r="L249" s="2" t="n">
        <v>21</v>
      </c>
      <c r="M249" s="2" t="n">
        <v>0</v>
      </c>
    </row>
    <row r="250" customFormat="false" ht="15" hidden="false" customHeight="false" outlineLevel="0" collapsed="false">
      <c r="A250" s="2" t="s">
        <v>193</v>
      </c>
      <c r="B250" s="2" t="s">
        <v>64</v>
      </c>
      <c r="C250" s="2" t="s">
        <v>82</v>
      </c>
      <c r="D250" s="2" t="s">
        <v>83</v>
      </c>
      <c r="E250" s="2" t="s">
        <v>67</v>
      </c>
      <c r="F250" s="2" t="n">
        <v>30</v>
      </c>
      <c r="G250" s="2" t="n">
        <v>40</v>
      </c>
      <c r="H250" s="2" t="n">
        <f aca="false">ROUND(F250/G250*100,0)</f>
        <v>75</v>
      </c>
      <c r="I250" s="2" t="str">
        <f aca="false">IF(H250&gt;=workload_config!$B$2,"Overloaded",IF(H250&lt;workload_config!$B$3,"Underutilized","Optimal"))</f>
        <v>Optimal</v>
      </c>
      <c r="J250" s="2" t="n">
        <v>3</v>
      </c>
      <c r="K250" s="2" t="n">
        <v>9</v>
      </c>
      <c r="L250" s="2" t="n">
        <v>21</v>
      </c>
      <c r="M250" s="2" t="n">
        <v>0</v>
      </c>
    </row>
    <row r="251" customFormat="false" ht="15" hidden="false" customHeight="false" outlineLevel="0" collapsed="false">
      <c r="A251" s="2" t="s">
        <v>193</v>
      </c>
      <c r="B251" s="2" t="s">
        <v>64</v>
      </c>
      <c r="C251" s="2" t="s">
        <v>84</v>
      </c>
      <c r="D251" s="2" t="s">
        <v>85</v>
      </c>
      <c r="E251" s="2" t="s">
        <v>67</v>
      </c>
      <c r="F251" s="2" t="n">
        <v>33</v>
      </c>
      <c r="G251" s="2" t="n">
        <v>40</v>
      </c>
      <c r="H251" s="2" t="n">
        <f aca="false">ROUND(F251/G251*100,0)</f>
        <v>83</v>
      </c>
      <c r="I251" s="2" t="str">
        <f aca="false">IF(H251&gt;=workload_config!$B$2,"Overloaded",IF(H251&lt;workload_config!$B$3,"Underutilized","Optimal"))</f>
        <v>Optimal</v>
      </c>
      <c r="J251" s="2" t="n">
        <v>3</v>
      </c>
      <c r="K251" s="2" t="n">
        <v>11</v>
      </c>
      <c r="L251" s="2" t="n">
        <v>22</v>
      </c>
      <c r="M251" s="2" t="n">
        <v>0</v>
      </c>
    </row>
    <row r="252" customFormat="false" ht="15" hidden="false" customHeight="false" outlineLevel="0" collapsed="false">
      <c r="A252" s="2" t="s">
        <v>193</v>
      </c>
      <c r="B252" s="2" t="s">
        <v>64</v>
      </c>
      <c r="C252" s="2" t="s">
        <v>86</v>
      </c>
      <c r="D252" s="2" t="s">
        <v>87</v>
      </c>
      <c r="E252" s="2" t="s">
        <v>67</v>
      </c>
      <c r="F252" s="2" t="n">
        <v>20</v>
      </c>
      <c r="G252" s="2" t="n">
        <v>40</v>
      </c>
      <c r="H252" s="2" t="n">
        <f aca="false">ROUND(F252/G252*100,0)</f>
        <v>50</v>
      </c>
      <c r="I252" s="2" t="str">
        <f aca="false">IF(H252&gt;=workload_config!$B$2,"Overloaded",IF(H252&lt;workload_config!$B$3,"Underutilized","Optimal"))</f>
        <v>Optimal</v>
      </c>
      <c r="J252" s="2" t="n">
        <v>2</v>
      </c>
      <c r="K252" s="2" t="n">
        <v>20</v>
      </c>
      <c r="L252" s="2" t="n">
        <v>0</v>
      </c>
      <c r="M252" s="2" t="n">
        <v>0</v>
      </c>
    </row>
    <row r="253" customFormat="false" ht="15" hidden="false" customHeight="false" outlineLevel="0" collapsed="false">
      <c r="A253" s="2" t="s">
        <v>193</v>
      </c>
      <c r="B253" s="2" t="s">
        <v>64</v>
      </c>
      <c r="C253" s="2" t="s">
        <v>88</v>
      </c>
      <c r="D253" s="2" t="s">
        <v>89</v>
      </c>
      <c r="E253" s="2" t="s">
        <v>67</v>
      </c>
      <c r="F253" s="2" t="n">
        <v>26</v>
      </c>
      <c r="G253" s="2" t="n">
        <v>40</v>
      </c>
      <c r="H253" s="2" t="n">
        <f aca="false">ROUND(F253/G253*100,0)</f>
        <v>65</v>
      </c>
      <c r="I253" s="2" t="str">
        <f aca="false">IF(H253&gt;=workload_config!$B$2,"Overloaded",IF(H253&lt;workload_config!$B$3,"Underutilized","Optimal"))</f>
        <v>Optimal</v>
      </c>
      <c r="J253" s="2" t="n">
        <v>3</v>
      </c>
      <c r="K253" s="2" t="n">
        <v>26</v>
      </c>
      <c r="L253" s="2" t="n">
        <v>0</v>
      </c>
      <c r="M253" s="2" t="n">
        <v>0</v>
      </c>
    </row>
    <row r="254" customFormat="false" ht="15" hidden="false" customHeight="false" outlineLevel="0" collapsed="false">
      <c r="A254" s="2" t="s">
        <v>193</v>
      </c>
      <c r="B254" s="2" t="s">
        <v>64</v>
      </c>
      <c r="C254" s="2" t="s">
        <v>90</v>
      </c>
      <c r="D254" s="2" t="s">
        <v>91</v>
      </c>
      <c r="E254" s="2" t="s">
        <v>67</v>
      </c>
      <c r="F254" s="2" t="n">
        <v>29</v>
      </c>
      <c r="G254" s="2" t="n">
        <v>40</v>
      </c>
      <c r="H254" s="2" t="n">
        <f aca="false">ROUND(F254/G254*100,0)</f>
        <v>73</v>
      </c>
      <c r="I254" s="2" t="str">
        <f aca="false">IF(H254&gt;=workload_config!$B$2,"Overloaded",IF(H254&lt;workload_config!$B$3,"Underutilized","Optimal"))</f>
        <v>Optimal</v>
      </c>
      <c r="J254" s="2" t="n">
        <v>3</v>
      </c>
      <c r="K254" s="2" t="n">
        <v>29</v>
      </c>
      <c r="L254" s="2" t="n">
        <v>0</v>
      </c>
      <c r="M254" s="2" t="n">
        <v>0</v>
      </c>
    </row>
    <row r="255" customFormat="false" ht="15" hidden="false" customHeight="false" outlineLevel="0" collapsed="false">
      <c r="A255" s="2" t="s">
        <v>193</v>
      </c>
      <c r="B255" s="2" t="s">
        <v>64</v>
      </c>
      <c r="C255" s="2" t="s">
        <v>92</v>
      </c>
      <c r="D255" s="2" t="s">
        <v>93</v>
      </c>
      <c r="E255" s="2" t="s">
        <v>67</v>
      </c>
      <c r="F255" s="2" t="n">
        <v>31</v>
      </c>
      <c r="G255" s="2" t="n">
        <v>40</v>
      </c>
      <c r="H255" s="2" t="n">
        <f aca="false">ROUND(F255/G255*100,0)</f>
        <v>78</v>
      </c>
      <c r="I255" s="2" t="str">
        <f aca="false">IF(H255&gt;=workload_config!$B$2,"Overloaded",IF(H255&lt;workload_config!$B$3,"Underutilized","Optimal"))</f>
        <v>Optimal</v>
      </c>
      <c r="J255" s="2" t="n">
        <v>3</v>
      </c>
      <c r="K255" s="2" t="n">
        <v>19</v>
      </c>
      <c r="L255" s="2" t="n">
        <v>12</v>
      </c>
      <c r="M255" s="2" t="n">
        <v>0</v>
      </c>
    </row>
    <row r="256" customFormat="false" ht="15" hidden="false" customHeight="false" outlineLevel="0" collapsed="false">
      <c r="A256" s="2" t="s">
        <v>193</v>
      </c>
      <c r="B256" s="2" t="s">
        <v>64</v>
      </c>
      <c r="C256" s="2" t="s">
        <v>94</v>
      </c>
      <c r="D256" s="2" t="s">
        <v>95</v>
      </c>
      <c r="E256" s="2" t="s">
        <v>96</v>
      </c>
      <c r="F256" s="2" t="n">
        <v>10</v>
      </c>
      <c r="G256" s="2" t="n">
        <v>40</v>
      </c>
      <c r="H256" s="2" t="n">
        <f aca="false">ROUND(F256/G256*100,0)</f>
        <v>25</v>
      </c>
      <c r="I256" s="2" t="str">
        <f aca="false">IF(H256&gt;=workload_config!$B$2,"Overloaded",IF(H256&lt;workload_config!$B$3,"Underutilized","Optimal"))</f>
        <v>Underutilized</v>
      </c>
      <c r="J256" s="2" t="n">
        <v>1</v>
      </c>
      <c r="K256" s="2" t="n">
        <v>10</v>
      </c>
      <c r="L256" s="2" t="n">
        <v>0</v>
      </c>
      <c r="M256" s="2" t="n">
        <v>0</v>
      </c>
    </row>
    <row r="257" customFormat="false" ht="15" hidden="false" customHeight="false" outlineLevel="0" collapsed="false">
      <c r="A257" s="2" t="s">
        <v>193</v>
      </c>
      <c r="B257" s="2" t="s">
        <v>64</v>
      </c>
      <c r="C257" s="2" t="s">
        <v>97</v>
      </c>
      <c r="D257" s="2" t="s">
        <v>98</v>
      </c>
      <c r="E257" s="2" t="s">
        <v>96</v>
      </c>
      <c r="F257" s="2" t="n">
        <v>20</v>
      </c>
      <c r="G257" s="2" t="n">
        <v>40</v>
      </c>
      <c r="H257" s="2" t="n">
        <f aca="false">ROUND(F257/G257*100,0)</f>
        <v>50</v>
      </c>
      <c r="I257" s="2" t="str">
        <f aca="false">IF(H257&gt;=workload_config!$B$2,"Overloaded",IF(H257&lt;workload_config!$B$3,"Underutilized","Optimal"))</f>
        <v>Optimal</v>
      </c>
      <c r="J257" s="2" t="n">
        <v>2</v>
      </c>
      <c r="K257" s="2" t="n">
        <v>20</v>
      </c>
      <c r="L257" s="2" t="n">
        <v>0</v>
      </c>
      <c r="M257" s="2" t="n">
        <v>0</v>
      </c>
    </row>
    <row r="258" customFormat="false" ht="15" hidden="false" customHeight="false" outlineLevel="0" collapsed="false">
      <c r="A258" s="2" t="s">
        <v>193</v>
      </c>
      <c r="B258" s="2" t="s">
        <v>64</v>
      </c>
      <c r="C258" s="2" t="s">
        <v>99</v>
      </c>
      <c r="D258" s="2" t="s">
        <v>100</v>
      </c>
      <c r="E258" s="2" t="s">
        <v>96</v>
      </c>
      <c r="F258" s="2" t="n">
        <v>12</v>
      </c>
      <c r="G258" s="2" t="n">
        <v>40</v>
      </c>
      <c r="H258" s="2" t="n">
        <f aca="false">ROUND(F258/G258*100,0)</f>
        <v>30</v>
      </c>
      <c r="I258" s="2" t="str">
        <f aca="false">IF(H258&gt;=workload_config!$B$2,"Overloaded",IF(H258&lt;workload_config!$B$3,"Underutilized","Optimal"))</f>
        <v>Underutilized</v>
      </c>
      <c r="J258" s="2" t="n">
        <v>1</v>
      </c>
      <c r="K258" s="2" t="n">
        <v>12</v>
      </c>
      <c r="L258" s="2" t="n">
        <v>0</v>
      </c>
      <c r="M258" s="2" t="n">
        <v>0</v>
      </c>
    </row>
    <row r="259" customFormat="false" ht="15" hidden="false" customHeight="false" outlineLevel="0" collapsed="false">
      <c r="A259" s="2" t="s">
        <v>193</v>
      </c>
      <c r="B259" s="2" t="s">
        <v>64</v>
      </c>
      <c r="C259" s="2" t="s">
        <v>101</v>
      </c>
      <c r="D259" s="2" t="s">
        <v>102</v>
      </c>
      <c r="E259" s="2" t="s">
        <v>96</v>
      </c>
      <c r="F259" s="2" t="n">
        <v>29</v>
      </c>
      <c r="G259" s="2" t="n">
        <v>40</v>
      </c>
      <c r="H259" s="2" t="n">
        <f aca="false">ROUND(F259/G259*100,0)</f>
        <v>73</v>
      </c>
      <c r="I259" s="2" t="str">
        <f aca="false">IF(H259&gt;=workload_config!$B$2,"Overloaded",IF(H259&lt;workload_config!$B$3,"Underutilized","Optimal"))</f>
        <v>Optimal</v>
      </c>
      <c r="J259" s="2" t="n">
        <v>3</v>
      </c>
      <c r="K259" s="2" t="n">
        <v>29</v>
      </c>
      <c r="L259" s="2" t="n">
        <v>0</v>
      </c>
      <c r="M259" s="2" t="n">
        <v>0</v>
      </c>
    </row>
    <row r="260" customFormat="false" ht="15" hidden="false" customHeight="false" outlineLevel="0" collapsed="false">
      <c r="A260" s="2" t="s">
        <v>193</v>
      </c>
      <c r="B260" s="2" t="s">
        <v>64</v>
      </c>
      <c r="C260" s="2" t="s">
        <v>103</v>
      </c>
      <c r="D260" s="2" t="s">
        <v>104</v>
      </c>
      <c r="E260" s="2" t="s">
        <v>96</v>
      </c>
      <c r="F260" s="2" t="n">
        <v>27</v>
      </c>
      <c r="G260" s="2" t="n">
        <v>40</v>
      </c>
      <c r="H260" s="2" t="n">
        <f aca="false">ROUND(F260/G260*100,0)</f>
        <v>68</v>
      </c>
      <c r="I260" s="2" t="str">
        <f aca="false">IF(H260&gt;=workload_config!$B$2,"Overloaded",IF(H260&lt;workload_config!$B$3,"Underutilized","Optimal"))</f>
        <v>Optimal</v>
      </c>
      <c r="J260" s="2" t="n">
        <v>3</v>
      </c>
      <c r="K260" s="2" t="n">
        <v>9</v>
      </c>
      <c r="L260" s="2" t="n">
        <v>18</v>
      </c>
      <c r="M260" s="2" t="n">
        <v>0</v>
      </c>
    </row>
    <row r="261" customFormat="false" ht="15" hidden="false" customHeight="false" outlineLevel="0" collapsed="false">
      <c r="A261" s="2" t="s">
        <v>193</v>
      </c>
      <c r="B261" s="2" t="s">
        <v>64</v>
      </c>
      <c r="C261" s="2" t="s">
        <v>105</v>
      </c>
      <c r="D261" s="2" t="s">
        <v>106</v>
      </c>
      <c r="E261" s="2" t="s">
        <v>96</v>
      </c>
      <c r="F261" s="2" t="n">
        <v>31</v>
      </c>
      <c r="G261" s="2" t="n">
        <v>40</v>
      </c>
      <c r="H261" s="2" t="n">
        <f aca="false">ROUND(F261/G261*100,0)</f>
        <v>78</v>
      </c>
      <c r="I261" s="2" t="str">
        <f aca="false">IF(H261&gt;=workload_config!$B$2,"Overloaded",IF(H261&lt;workload_config!$B$3,"Underutilized","Optimal"))</f>
        <v>Optimal</v>
      </c>
      <c r="J261" s="2" t="n">
        <v>3</v>
      </c>
      <c r="K261" s="2" t="n">
        <v>31</v>
      </c>
      <c r="L261" s="2" t="n">
        <v>0</v>
      </c>
      <c r="M261" s="2" t="n">
        <v>0</v>
      </c>
    </row>
    <row r="262" customFormat="false" ht="15" hidden="false" customHeight="false" outlineLevel="0" collapsed="false">
      <c r="A262" s="2" t="s">
        <v>193</v>
      </c>
      <c r="B262" s="2" t="s">
        <v>64</v>
      </c>
      <c r="C262" s="2" t="s">
        <v>107</v>
      </c>
      <c r="D262" s="2" t="s">
        <v>108</v>
      </c>
      <c r="E262" s="2" t="s">
        <v>96</v>
      </c>
      <c r="F262" s="2" t="n">
        <v>31</v>
      </c>
      <c r="G262" s="2" t="n">
        <v>40</v>
      </c>
      <c r="H262" s="2" t="n">
        <f aca="false">ROUND(F262/G262*100,0)</f>
        <v>78</v>
      </c>
      <c r="I262" s="2" t="str">
        <f aca="false">IF(H262&gt;=workload_config!$B$2,"Overloaded",IF(H262&lt;workload_config!$B$3,"Underutilized","Optimal"))</f>
        <v>Optimal</v>
      </c>
      <c r="J262" s="2" t="n">
        <v>3</v>
      </c>
      <c r="K262" s="2" t="n">
        <v>31</v>
      </c>
      <c r="L262" s="2" t="n">
        <v>0</v>
      </c>
      <c r="M262" s="2" t="n">
        <v>0</v>
      </c>
    </row>
    <row r="263" customFormat="false" ht="15" hidden="false" customHeight="false" outlineLevel="0" collapsed="false">
      <c r="A263" s="2" t="s">
        <v>193</v>
      </c>
      <c r="B263" s="2" t="s">
        <v>64</v>
      </c>
      <c r="C263" s="2" t="s">
        <v>109</v>
      </c>
      <c r="D263" s="2" t="s">
        <v>110</v>
      </c>
      <c r="E263" s="2" t="s">
        <v>96</v>
      </c>
      <c r="F263" s="2" t="n">
        <v>38</v>
      </c>
      <c r="G263" s="2" t="n">
        <v>40</v>
      </c>
      <c r="H263" s="2" t="n">
        <f aca="false">ROUND(F263/G263*100,0)</f>
        <v>95</v>
      </c>
      <c r="I263" s="2" t="str">
        <f aca="false">IF(H263&gt;=workload_config!$B$2,"Overloaded",IF(H263&lt;workload_config!$B$3,"Underutilized","Optimal"))</f>
        <v>Overloaded</v>
      </c>
      <c r="J263" s="2" t="n">
        <v>4</v>
      </c>
      <c r="K263" s="2" t="n">
        <v>38</v>
      </c>
      <c r="L263" s="2" t="n">
        <v>0</v>
      </c>
      <c r="M263" s="2" t="n">
        <v>3</v>
      </c>
    </row>
    <row r="264" customFormat="false" ht="15" hidden="false" customHeight="false" outlineLevel="0" collapsed="false">
      <c r="A264" s="2" t="s">
        <v>193</v>
      </c>
      <c r="B264" s="2" t="s">
        <v>64</v>
      </c>
      <c r="C264" s="2" t="s">
        <v>111</v>
      </c>
      <c r="D264" s="2" t="s">
        <v>112</v>
      </c>
      <c r="E264" s="2" t="s">
        <v>96</v>
      </c>
      <c r="F264" s="2" t="n">
        <v>32</v>
      </c>
      <c r="G264" s="2" t="n">
        <v>40</v>
      </c>
      <c r="H264" s="2" t="n">
        <f aca="false">ROUND(F264/G264*100,0)</f>
        <v>80</v>
      </c>
      <c r="I264" s="2" t="str">
        <f aca="false">IF(H264&gt;=workload_config!$B$2,"Overloaded",IF(H264&lt;workload_config!$B$3,"Underutilized","Optimal"))</f>
        <v>Optimal</v>
      </c>
      <c r="J264" s="2" t="n">
        <v>3</v>
      </c>
      <c r="K264" s="2" t="n">
        <v>32</v>
      </c>
      <c r="L264" s="2" t="n">
        <v>0</v>
      </c>
      <c r="M264" s="2" t="n">
        <v>0</v>
      </c>
    </row>
    <row r="265" customFormat="false" ht="15" hidden="false" customHeight="false" outlineLevel="0" collapsed="false">
      <c r="A265" s="2" t="s">
        <v>193</v>
      </c>
      <c r="B265" s="2" t="s">
        <v>64</v>
      </c>
      <c r="C265" s="2" t="s">
        <v>113</v>
      </c>
      <c r="D265" s="2" t="s">
        <v>114</v>
      </c>
      <c r="E265" s="2" t="s">
        <v>96</v>
      </c>
      <c r="F265" s="2" t="n">
        <v>29</v>
      </c>
      <c r="G265" s="2" t="n">
        <v>40</v>
      </c>
      <c r="H265" s="2" t="n">
        <f aca="false">ROUND(F265/G265*100,0)</f>
        <v>73</v>
      </c>
      <c r="I265" s="2" t="str">
        <f aca="false">IF(H265&gt;=workload_config!$B$2,"Overloaded",IF(H265&lt;workload_config!$B$3,"Underutilized","Optimal"))</f>
        <v>Optimal</v>
      </c>
      <c r="J265" s="2" t="n">
        <v>3</v>
      </c>
      <c r="K265" s="2" t="n">
        <v>18</v>
      </c>
      <c r="L265" s="2" t="n">
        <v>11</v>
      </c>
      <c r="M265" s="2" t="n">
        <v>0</v>
      </c>
    </row>
    <row r="266" customFormat="false" ht="15" hidden="false" customHeight="false" outlineLevel="0" collapsed="false">
      <c r="A266" s="2" t="s">
        <v>193</v>
      </c>
      <c r="B266" s="2" t="s">
        <v>64</v>
      </c>
      <c r="C266" s="2" t="s">
        <v>115</v>
      </c>
      <c r="D266" s="2" t="s">
        <v>116</v>
      </c>
      <c r="E266" s="2" t="s">
        <v>96</v>
      </c>
      <c r="F266" s="2" t="n">
        <v>27</v>
      </c>
      <c r="G266" s="2" t="n">
        <v>40</v>
      </c>
      <c r="H266" s="2" t="n">
        <f aca="false">ROUND(F266/G266*100,0)</f>
        <v>68</v>
      </c>
      <c r="I266" s="2" t="str">
        <f aca="false">IF(H266&gt;=workload_config!$B$2,"Overloaded",IF(H266&lt;workload_config!$B$3,"Underutilized","Optimal"))</f>
        <v>Optimal</v>
      </c>
      <c r="J266" s="2" t="n">
        <v>3</v>
      </c>
      <c r="K266" s="2" t="n">
        <v>27</v>
      </c>
      <c r="L266" s="2" t="n">
        <v>0</v>
      </c>
      <c r="M266" s="2" t="n">
        <v>0</v>
      </c>
    </row>
    <row r="267" customFormat="false" ht="15" hidden="false" customHeight="false" outlineLevel="0" collapsed="false">
      <c r="A267" s="2" t="s">
        <v>193</v>
      </c>
      <c r="B267" s="2" t="s">
        <v>64</v>
      </c>
      <c r="C267" s="2" t="s">
        <v>117</v>
      </c>
      <c r="D267" s="2" t="s">
        <v>118</v>
      </c>
      <c r="E267" s="2" t="s">
        <v>119</v>
      </c>
      <c r="F267" s="2" t="n">
        <v>20</v>
      </c>
      <c r="G267" s="2" t="n">
        <v>40</v>
      </c>
      <c r="H267" s="2" t="n">
        <f aca="false">ROUND(F267/G267*100,0)</f>
        <v>50</v>
      </c>
      <c r="I267" s="2" t="str">
        <f aca="false">IF(H267&gt;=workload_config!$B$2,"Overloaded",IF(H267&lt;workload_config!$B$3,"Underutilized","Optimal"))</f>
        <v>Optimal</v>
      </c>
      <c r="J267" s="2" t="n">
        <v>2</v>
      </c>
      <c r="K267" s="2" t="n">
        <v>20</v>
      </c>
      <c r="L267" s="2" t="n">
        <v>0</v>
      </c>
      <c r="M267" s="2" t="n">
        <v>0</v>
      </c>
    </row>
    <row r="268" customFormat="false" ht="15" hidden="false" customHeight="false" outlineLevel="0" collapsed="false">
      <c r="A268" s="2" t="s">
        <v>193</v>
      </c>
      <c r="B268" s="2" t="s">
        <v>64</v>
      </c>
      <c r="C268" s="2" t="s">
        <v>120</v>
      </c>
      <c r="D268" s="2" t="s">
        <v>121</v>
      </c>
      <c r="E268" s="2" t="s">
        <v>119</v>
      </c>
      <c r="F268" s="2" t="n">
        <v>30</v>
      </c>
      <c r="G268" s="2" t="n">
        <v>40</v>
      </c>
      <c r="H268" s="2" t="n">
        <f aca="false">ROUND(F268/G268*100,0)</f>
        <v>75</v>
      </c>
      <c r="I268" s="2" t="str">
        <f aca="false">IF(H268&gt;=workload_config!$B$2,"Overloaded",IF(H268&lt;workload_config!$B$3,"Underutilized","Optimal"))</f>
        <v>Optimal</v>
      </c>
      <c r="J268" s="2" t="n">
        <v>3</v>
      </c>
      <c r="K268" s="2" t="n">
        <v>22</v>
      </c>
      <c r="L268" s="2" t="n">
        <v>8</v>
      </c>
      <c r="M268" s="2" t="n">
        <v>0</v>
      </c>
    </row>
    <row r="269" customFormat="false" ht="15" hidden="false" customHeight="false" outlineLevel="0" collapsed="false">
      <c r="A269" s="2" t="s">
        <v>193</v>
      </c>
      <c r="B269" s="2" t="s">
        <v>64</v>
      </c>
      <c r="C269" s="2" t="s">
        <v>122</v>
      </c>
      <c r="D269" s="2" t="s">
        <v>123</v>
      </c>
      <c r="E269" s="2" t="s">
        <v>119</v>
      </c>
      <c r="F269" s="2" t="n">
        <v>37</v>
      </c>
      <c r="G269" s="2" t="n">
        <v>40</v>
      </c>
      <c r="H269" s="2" t="n">
        <f aca="false">ROUND(F269/G269*100,0)</f>
        <v>93</v>
      </c>
      <c r="I269" s="2" t="str">
        <f aca="false">IF(H269&gt;=workload_config!$B$2,"Overloaded",IF(H269&lt;workload_config!$B$3,"Underutilized","Optimal"))</f>
        <v>Overloaded</v>
      </c>
      <c r="J269" s="2" t="n">
        <v>4</v>
      </c>
      <c r="K269" s="2" t="n">
        <v>27</v>
      </c>
      <c r="L269" s="2" t="n">
        <v>10</v>
      </c>
      <c r="M269" s="2" t="n">
        <v>0</v>
      </c>
    </row>
    <row r="270" customFormat="false" ht="15" hidden="false" customHeight="false" outlineLevel="0" collapsed="false">
      <c r="A270" s="2" t="s">
        <v>193</v>
      </c>
      <c r="B270" s="2" t="s">
        <v>64</v>
      </c>
      <c r="C270" s="2" t="s">
        <v>124</v>
      </c>
      <c r="D270" s="2" t="s">
        <v>125</v>
      </c>
      <c r="E270" s="2" t="s">
        <v>119</v>
      </c>
      <c r="F270" s="2" t="n">
        <v>10</v>
      </c>
      <c r="G270" s="2" t="n">
        <v>40</v>
      </c>
      <c r="H270" s="2" t="n">
        <f aca="false">ROUND(F270/G270*100,0)</f>
        <v>25</v>
      </c>
      <c r="I270" s="2" t="str">
        <f aca="false">IF(H270&gt;=workload_config!$B$2,"Overloaded",IF(H270&lt;workload_config!$B$3,"Underutilized","Optimal"))</f>
        <v>Underutilized</v>
      </c>
      <c r="J270" s="2" t="n">
        <v>1</v>
      </c>
      <c r="K270" s="2" t="n">
        <v>10</v>
      </c>
      <c r="L270" s="2" t="n">
        <v>0</v>
      </c>
      <c r="M270" s="2" t="n">
        <v>0</v>
      </c>
    </row>
    <row r="271" customFormat="false" ht="15" hidden="false" customHeight="false" outlineLevel="0" collapsed="false">
      <c r="A271" s="2" t="s">
        <v>193</v>
      </c>
      <c r="B271" s="2" t="s">
        <v>64</v>
      </c>
      <c r="C271" s="2" t="s">
        <v>126</v>
      </c>
      <c r="D271" s="2" t="s">
        <v>127</v>
      </c>
      <c r="E271" s="2" t="s">
        <v>119</v>
      </c>
      <c r="F271" s="2" t="n">
        <v>39</v>
      </c>
      <c r="G271" s="2" t="n">
        <v>40</v>
      </c>
      <c r="H271" s="2" t="n">
        <f aca="false">ROUND(F271/G271*100,0)</f>
        <v>98</v>
      </c>
      <c r="I271" s="2" t="str">
        <f aca="false">IF(H271&gt;=workload_config!$B$2,"Overloaded",IF(H271&lt;workload_config!$B$3,"Underutilized","Optimal"))</f>
        <v>Overloaded</v>
      </c>
      <c r="J271" s="2" t="n">
        <v>4</v>
      </c>
      <c r="K271" s="2" t="n">
        <v>39</v>
      </c>
      <c r="L271" s="2" t="n">
        <v>0</v>
      </c>
      <c r="M271" s="2" t="n">
        <v>0</v>
      </c>
    </row>
    <row r="272" customFormat="false" ht="15" hidden="false" customHeight="false" outlineLevel="0" collapsed="false">
      <c r="A272" s="2" t="s">
        <v>193</v>
      </c>
      <c r="B272" s="2" t="s">
        <v>64</v>
      </c>
      <c r="C272" s="2" t="s">
        <v>128</v>
      </c>
      <c r="D272" s="2" t="s">
        <v>129</v>
      </c>
      <c r="E272" s="2" t="s">
        <v>119</v>
      </c>
      <c r="F272" s="2" t="n">
        <v>24</v>
      </c>
      <c r="G272" s="2" t="n">
        <v>40</v>
      </c>
      <c r="H272" s="2" t="n">
        <f aca="false">ROUND(F272/G272*100,0)</f>
        <v>60</v>
      </c>
      <c r="I272" s="2" t="str">
        <f aca="false">IF(H272&gt;=workload_config!$B$2,"Overloaded",IF(H272&lt;workload_config!$B$3,"Underutilized","Optimal"))</f>
        <v>Optimal</v>
      </c>
      <c r="J272" s="2" t="n">
        <v>2</v>
      </c>
      <c r="K272" s="2" t="n">
        <v>24</v>
      </c>
      <c r="L272" s="2" t="n">
        <v>0</v>
      </c>
      <c r="M272" s="2" t="n">
        <v>0</v>
      </c>
    </row>
    <row r="273" customFormat="false" ht="15" hidden="false" customHeight="false" outlineLevel="0" collapsed="false">
      <c r="A273" s="2" t="s">
        <v>193</v>
      </c>
      <c r="B273" s="2" t="s">
        <v>64</v>
      </c>
      <c r="C273" s="2" t="s">
        <v>130</v>
      </c>
      <c r="D273" s="2" t="s">
        <v>131</v>
      </c>
      <c r="E273" s="2" t="s">
        <v>119</v>
      </c>
      <c r="F273" s="2" t="n">
        <v>20</v>
      </c>
      <c r="G273" s="2" t="n">
        <v>40</v>
      </c>
      <c r="H273" s="2" t="n">
        <f aca="false">ROUND(F273/G273*100,0)</f>
        <v>50</v>
      </c>
      <c r="I273" s="2" t="str">
        <f aca="false">IF(H273&gt;=workload_config!$B$2,"Overloaded",IF(H273&lt;workload_config!$B$3,"Underutilized","Optimal"))</f>
        <v>Optimal</v>
      </c>
      <c r="J273" s="2" t="n">
        <v>2</v>
      </c>
      <c r="K273" s="2" t="n">
        <v>20</v>
      </c>
      <c r="L273" s="2" t="n">
        <v>0</v>
      </c>
      <c r="M273" s="2" t="n">
        <v>0</v>
      </c>
    </row>
    <row r="274" customFormat="false" ht="15" hidden="false" customHeight="false" outlineLevel="0" collapsed="false">
      <c r="A274" s="2" t="s">
        <v>193</v>
      </c>
      <c r="B274" s="2" t="s">
        <v>64</v>
      </c>
      <c r="C274" s="2" t="s">
        <v>132</v>
      </c>
      <c r="D274" s="2" t="s">
        <v>133</v>
      </c>
      <c r="E274" s="2" t="s">
        <v>119</v>
      </c>
      <c r="F274" s="2" t="n">
        <v>27</v>
      </c>
      <c r="G274" s="2" t="n">
        <v>40</v>
      </c>
      <c r="H274" s="2" t="n">
        <f aca="false">ROUND(F274/G274*100,0)</f>
        <v>68</v>
      </c>
      <c r="I274" s="2" t="str">
        <f aca="false">IF(H274&gt;=workload_config!$B$2,"Overloaded",IF(H274&lt;workload_config!$B$3,"Underutilized","Optimal"))</f>
        <v>Optimal</v>
      </c>
      <c r="J274" s="2" t="n">
        <v>3</v>
      </c>
      <c r="K274" s="2" t="n">
        <v>17</v>
      </c>
      <c r="L274" s="2" t="n">
        <v>10</v>
      </c>
      <c r="M274" s="2" t="n">
        <v>0</v>
      </c>
    </row>
    <row r="275" customFormat="false" ht="15" hidden="false" customHeight="false" outlineLevel="0" collapsed="false">
      <c r="A275" s="2" t="s">
        <v>193</v>
      </c>
      <c r="B275" s="2" t="s">
        <v>64</v>
      </c>
      <c r="C275" s="2" t="s">
        <v>134</v>
      </c>
      <c r="D275" s="2" t="s">
        <v>135</v>
      </c>
      <c r="E275" s="2" t="s">
        <v>119</v>
      </c>
      <c r="F275" s="2" t="n">
        <v>30</v>
      </c>
      <c r="G275" s="2" t="n">
        <v>40</v>
      </c>
      <c r="H275" s="2" t="n">
        <f aca="false">ROUND(F275/G275*100,0)</f>
        <v>75</v>
      </c>
      <c r="I275" s="2" t="str">
        <f aca="false">IF(H275&gt;=workload_config!$B$2,"Overloaded",IF(H275&lt;workload_config!$B$3,"Underutilized","Optimal"))</f>
        <v>Optimal</v>
      </c>
      <c r="J275" s="2" t="n">
        <v>3</v>
      </c>
      <c r="K275" s="2" t="n">
        <v>20</v>
      </c>
      <c r="L275" s="2" t="n">
        <v>10</v>
      </c>
      <c r="M275" s="2" t="n">
        <v>0</v>
      </c>
    </row>
    <row r="276" customFormat="false" ht="15" hidden="false" customHeight="false" outlineLevel="0" collapsed="false">
      <c r="A276" s="2" t="s">
        <v>193</v>
      </c>
      <c r="B276" s="2" t="s">
        <v>64</v>
      </c>
      <c r="C276" s="2" t="s">
        <v>136</v>
      </c>
      <c r="D276" s="2" t="s">
        <v>137</v>
      </c>
      <c r="E276" s="2" t="s">
        <v>119</v>
      </c>
      <c r="F276" s="2" t="n">
        <v>25</v>
      </c>
      <c r="G276" s="2" t="n">
        <v>40</v>
      </c>
      <c r="H276" s="2" t="n">
        <f aca="false">ROUND(F276/G276*100,0)</f>
        <v>63</v>
      </c>
      <c r="I276" s="2" t="str">
        <f aca="false">IF(H276&gt;=workload_config!$B$2,"Overloaded",IF(H276&lt;workload_config!$B$3,"Underutilized","Optimal"))</f>
        <v>Optimal</v>
      </c>
      <c r="J276" s="2" t="n">
        <v>2</v>
      </c>
      <c r="K276" s="2" t="n">
        <v>25</v>
      </c>
      <c r="L276" s="2" t="n">
        <v>0</v>
      </c>
      <c r="M276" s="2" t="n">
        <v>0</v>
      </c>
    </row>
    <row r="277" customFormat="false" ht="15" hidden="false" customHeight="false" outlineLevel="0" collapsed="false">
      <c r="A277" s="2" t="s">
        <v>193</v>
      </c>
      <c r="B277" s="2" t="s">
        <v>64</v>
      </c>
      <c r="C277" s="2" t="s">
        <v>138</v>
      </c>
      <c r="D277" s="2" t="s">
        <v>139</v>
      </c>
      <c r="E277" s="2" t="s">
        <v>119</v>
      </c>
      <c r="F277" s="2" t="n">
        <v>14</v>
      </c>
      <c r="G277" s="2" t="n">
        <v>40</v>
      </c>
      <c r="H277" s="2" t="n">
        <f aca="false">ROUND(F277/G277*100,0)</f>
        <v>35</v>
      </c>
      <c r="I277" s="2" t="str">
        <f aca="false">IF(H277&gt;=workload_config!$B$2,"Overloaded",IF(H277&lt;workload_config!$B$3,"Underutilized","Optimal"))</f>
        <v>Underutilized</v>
      </c>
      <c r="J277" s="2" t="n">
        <v>1</v>
      </c>
      <c r="K277" s="2" t="n">
        <v>14</v>
      </c>
      <c r="L277" s="2" t="n">
        <v>0</v>
      </c>
      <c r="M277" s="2" t="n">
        <v>0</v>
      </c>
    </row>
    <row r="278" customFormat="false" ht="15" hidden="false" customHeight="false" outlineLevel="0" collapsed="false">
      <c r="A278" s="2" t="s">
        <v>193</v>
      </c>
      <c r="B278" s="2" t="s">
        <v>64</v>
      </c>
      <c r="C278" s="2" t="s">
        <v>140</v>
      </c>
      <c r="D278" s="2" t="s">
        <v>141</v>
      </c>
      <c r="E278" s="2" t="s">
        <v>119</v>
      </c>
      <c r="F278" s="2" t="n">
        <v>13</v>
      </c>
      <c r="G278" s="2" t="n">
        <v>40</v>
      </c>
      <c r="H278" s="2" t="n">
        <f aca="false">ROUND(F278/G278*100,0)</f>
        <v>33</v>
      </c>
      <c r="I278" s="2" t="str">
        <f aca="false">IF(H278&gt;=workload_config!$B$2,"Overloaded",IF(H278&lt;workload_config!$B$3,"Underutilized","Optimal"))</f>
        <v>Underutilized</v>
      </c>
      <c r="J278" s="2" t="n">
        <v>1</v>
      </c>
      <c r="K278" s="2" t="n">
        <v>13</v>
      </c>
      <c r="L278" s="2" t="n">
        <v>0</v>
      </c>
      <c r="M278" s="2" t="n">
        <v>0</v>
      </c>
    </row>
    <row r="279" customFormat="false" ht="15" hidden="false" customHeight="false" outlineLevel="0" collapsed="false">
      <c r="A279" s="2" t="s">
        <v>193</v>
      </c>
      <c r="B279" s="2" t="s">
        <v>64</v>
      </c>
      <c r="C279" s="2" t="s">
        <v>142</v>
      </c>
      <c r="D279" s="2" t="s">
        <v>143</v>
      </c>
      <c r="E279" s="2" t="s">
        <v>119</v>
      </c>
      <c r="F279" s="2" t="n">
        <v>29</v>
      </c>
      <c r="G279" s="2" t="n">
        <v>40</v>
      </c>
      <c r="H279" s="2" t="n">
        <f aca="false">ROUND(F279/G279*100,0)</f>
        <v>73</v>
      </c>
      <c r="I279" s="2" t="str">
        <f aca="false">IF(H279&gt;=workload_config!$B$2,"Overloaded",IF(H279&lt;workload_config!$B$3,"Underutilized","Optimal"))</f>
        <v>Optimal</v>
      </c>
      <c r="J279" s="2" t="n">
        <v>3</v>
      </c>
      <c r="K279" s="2" t="n">
        <v>18</v>
      </c>
      <c r="L279" s="2" t="n">
        <v>11</v>
      </c>
      <c r="M279" s="2" t="n">
        <v>0</v>
      </c>
    </row>
    <row r="280" customFormat="false" ht="15" hidden="false" customHeight="false" outlineLevel="0" collapsed="false">
      <c r="A280" s="2" t="s">
        <v>193</v>
      </c>
      <c r="B280" s="2" t="s">
        <v>64</v>
      </c>
      <c r="C280" s="2" t="s">
        <v>144</v>
      </c>
      <c r="D280" s="2" t="s">
        <v>145</v>
      </c>
      <c r="E280" s="2" t="s">
        <v>146</v>
      </c>
      <c r="F280" s="2" t="n">
        <v>14</v>
      </c>
      <c r="G280" s="2" t="n">
        <v>40</v>
      </c>
      <c r="H280" s="2" t="n">
        <f aca="false">ROUND(F280/G280*100,0)</f>
        <v>35</v>
      </c>
      <c r="I280" s="2" t="str">
        <f aca="false">IF(H280&gt;=workload_config!$B$2,"Overloaded",IF(H280&lt;workload_config!$B$3,"Underutilized","Optimal"))</f>
        <v>Underutilized</v>
      </c>
      <c r="J280" s="2" t="n">
        <v>1</v>
      </c>
      <c r="K280" s="2" t="n">
        <v>14</v>
      </c>
      <c r="L280" s="2" t="n">
        <v>0</v>
      </c>
      <c r="M280" s="2" t="n">
        <v>0</v>
      </c>
    </row>
    <row r="281" customFormat="false" ht="15" hidden="false" customHeight="false" outlineLevel="0" collapsed="false">
      <c r="A281" s="2" t="s">
        <v>193</v>
      </c>
      <c r="B281" s="2" t="s">
        <v>64</v>
      </c>
      <c r="C281" s="2" t="s">
        <v>147</v>
      </c>
      <c r="D281" s="2" t="s">
        <v>148</v>
      </c>
      <c r="E281" s="2" t="s">
        <v>146</v>
      </c>
      <c r="F281" s="2" t="n">
        <v>11</v>
      </c>
      <c r="G281" s="2" t="n">
        <v>40</v>
      </c>
      <c r="H281" s="2" t="n">
        <f aca="false">ROUND(F281/G281*100,0)</f>
        <v>28</v>
      </c>
      <c r="I281" s="2" t="str">
        <f aca="false">IF(H281&gt;=workload_config!$B$2,"Overloaded",IF(H281&lt;workload_config!$B$3,"Underutilized","Optimal"))</f>
        <v>Underutilized</v>
      </c>
      <c r="J281" s="2" t="n">
        <v>1</v>
      </c>
      <c r="K281" s="2" t="n">
        <v>0</v>
      </c>
      <c r="L281" s="2" t="n">
        <v>11</v>
      </c>
      <c r="M281" s="2" t="n">
        <v>0</v>
      </c>
    </row>
    <row r="282" customFormat="false" ht="15" hidden="false" customHeight="false" outlineLevel="0" collapsed="false">
      <c r="A282" s="2" t="s">
        <v>193</v>
      </c>
      <c r="B282" s="2" t="s">
        <v>64</v>
      </c>
      <c r="C282" s="2" t="s">
        <v>149</v>
      </c>
      <c r="D282" s="2" t="s">
        <v>150</v>
      </c>
      <c r="E282" s="2" t="s">
        <v>146</v>
      </c>
      <c r="F282" s="2" t="n">
        <v>27</v>
      </c>
      <c r="G282" s="2" t="n">
        <v>40</v>
      </c>
      <c r="H282" s="2" t="n">
        <f aca="false">ROUND(F282/G282*100,0)</f>
        <v>68</v>
      </c>
      <c r="I282" s="2" t="str">
        <f aca="false">IF(H282&gt;=workload_config!$B$2,"Overloaded",IF(H282&lt;workload_config!$B$3,"Underutilized","Optimal"))</f>
        <v>Optimal</v>
      </c>
      <c r="J282" s="2" t="n">
        <v>3</v>
      </c>
      <c r="K282" s="2" t="n">
        <v>20</v>
      </c>
      <c r="L282" s="2" t="n">
        <v>7</v>
      </c>
      <c r="M282" s="2" t="n">
        <v>0</v>
      </c>
    </row>
    <row r="283" customFormat="false" ht="15" hidden="false" customHeight="false" outlineLevel="0" collapsed="false">
      <c r="A283" s="2" t="s">
        <v>193</v>
      </c>
      <c r="B283" s="2" t="s">
        <v>64</v>
      </c>
      <c r="C283" s="2" t="s">
        <v>151</v>
      </c>
      <c r="D283" s="2" t="s">
        <v>152</v>
      </c>
      <c r="E283" s="2" t="s">
        <v>146</v>
      </c>
      <c r="F283" s="2" t="n">
        <v>30</v>
      </c>
      <c r="G283" s="2" t="n">
        <v>40</v>
      </c>
      <c r="H283" s="2" t="n">
        <f aca="false">ROUND(F283/G283*100,0)</f>
        <v>75</v>
      </c>
      <c r="I283" s="2" t="str">
        <f aca="false">IF(H283&gt;=workload_config!$B$2,"Overloaded",IF(H283&lt;workload_config!$B$3,"Underutilized","Optimal"))</f>
        <v>Optimal</v>
      </c>
      <c r="J283" s="2" t="n">
        <v>3</v>
      </c>
      <c r="K283" s="2" t="n">
        <v>30</v>
      </c>
      <c r="L283" s="2" t="n">
        <v>0</v>
      </c>
      <c r="M283" s="2" t="n">
        <v>0</v>
      </c>
    </row>
    <row r="284" customFormat="false" ht="15" hidden="false" customHeight="false" outlineLevel="0" collapsed="false">
      <c r="A284" s="2" t="s">
        <v>193</v>
      </c>
      <c r="B284" s="2" t="s">
        <v>64</v>
      </c>
      <c r="C284" s="2" t="s">
        <v>153</v>
      </c>
      <c r="D284" s="2" t="s">
        <v>154</v>
      </c>
      <c r="E284" s="2" t="s">
        <v>146</v>
      </c>
      <c r="F284" s="2" t="n">
        <v>24</v>
      </c>
      <c r="G284" s="2" t="n">
        <v>40</v>
      </c>
      <c r="H284" s="2" t="n">
        <f aca="false">ROUND(F284/G284*100,0)</f>
        <v>60</v>
      </c>
      <c r="I284" s="2" t="str">
        <f aca="false">IF(H284&gt;=workload_config!$B$2,"Overloaded",IF(H284&lt;workload_config!$B$3,"Underutilized","Optimal"))</f>
        <v>Optimal</v>
      </c>
      <c r="J284" s="2" t="n">
        <v>2</v>
      </c>
      <c r="K284" s="2" t="n">
        <v>24</v>
      </c>
      <c r="L284" s="2" t="n">
        <v>0</v>
      </c>
      <c r="M284" s="2" t="n">
        <v>0</v>
      </c>
    </row>
    <row r="285" customFormat="false" ht="15" hidden="false" customHeight="false" outlineLevel="0" collapsed="false">
      <c r="A285" s="2" t="s">
        <v>193</v>
      </c>
      <c r="B285" s="2" t="s">
        <v>64</v>
      </c>
      <c r="C285" s="2" t="s">
        <v>155</v>
      </c>
      <c r="D285" s="2" t="s">
        <v>156</v>
      </c>
      <c r="E285" s="2" t="s">
        <v>146</v>
      </c>
      <c r="F285" s="2" t="n">
        <v>40</v>
      </c>
      <c r="G285" s="2" t="n">
        <v>40</v>
      </c>
      <c r="H285" s="2" t="n">
        <f aca="false">ROUND(F285/G285*100,0)</f>
        <v>100</v>
      </c>
      <c r="I285" s="2" t="str">
        <f aca="false">IF(H285&gt;=workload_config!$B$2,"Overloaded",IF(H285&lt;workload_config!$B$3,"Underutilized","Optimal"))</f>
        <v>Overloaded</v>
      </c>
      <c r="J285" s="2" t="n">
        <v>4</v>
      </c>
      <c r="K285" s="2" t="n">
        <v>40</v>
      </c>
      <c r="L285" s="2" t="n">
        <v>0</v>
      </c>
      <c r="M285" s="2" t="n">
        <v>0</v>
      </c>
    </row>
    <row r="286" customFormat="false" ht="15" hidden="false" customHeight="false" outlineLevel="0" collapsed="false">
      <c r="A286" s="2" t="s">
        <v>193</v>
      </c>
      <c r="B286" s="2" t="s">
        <v>64</v>
      </c>
      <c r="C286" s="2" t="s">
        <v>157</v>
      </c>
      <c r="D286" s="2" t="s">
        <v>158</v>
      </c>
      <c r="E286" s="2" t="s">
        <v>146</v>
      </c>
      <c r="F286" s="2" t="n">
        <v>9</v>
      </c>
      <c r="G286" s="2" t="n">
        <v>40</v>
      </c>
      <c r="H286" s="2" t="n">
        <f aca="false">ROUND(F286/G286*100,0)</f>
        <v>23</v>
      </c>
      <c r="I286" s="2" t="str">
        <f aca="false">IF(H286&gt;=workload_config!$B$2,"Overloaded",IF(H286&lt;workload_config!$B$3,"Underutilized","Optimal"))</f>
        <v>Underutilized</v>
      </c>
      <c r="J286" s="2" t="n">
        <v>1</v>
      </c>
      <c r="K286" s="2" t="n">
        <v>9</v>
      </c>
      <c r="L286" s="2" t="n">
        <v>0</v>
      </c>
      <c r="M286" s="2" t="n">
        <v>0</v>
      </c>
    </row>
    <row r="287" customFormat="false" ht="15" hidden="false" customHeight="false" outlineLevel="0" collapsed="false">
      <c r="A287" s="2" t="s">
        <v>193</v>
      </c>
      <c r="B287" s="2" t="s">
        <v>64</v>
      </c>
      <c r="C287" s="2" t="s">
        <v>159</v>
      </c>
      <c r="D287" s="2" t="s">
        <v>160</v>
      </c>
      <c r="E287" s="2" t="s">
        <v>146</v>
      </c>
      <c r="F287" s="2" t="n">
        <v>23</v>
      </c>
      <c r="G287" s="2" t="n">
        <v>40</v>
      </c>
      <c r="H287" s="2" t="n">
        <f aca="false">ROUND(F287/G287*100,0)</f>
        <v>57</v>
      </c>
      <c r="I287" s="2" t="str">
        <f aca="false">IF(H287&gt;=workload_config!$B$2,"Overloaded",IF(H287&lt;workload_config!$B$3,"Underutilized","Optimal"))</f>
        <v>Optimal</v>
      </c>
      <c r="J287" s="2" t="n">
        <v>2</v>
      </c>
      <c r="K287" s="2" t="n">
        <v>23</v>
      </c>
      <c r="L287" s="2" t="n">
        <v>0</v>
      </c>
      <c r="M287" s="2" t="n">
        <v>0</v>
      </c>
    </row>
    <row r="288" customFormat="false" ht="15" hidden="false" customHeight="false" outlineLevel="0" collapsed="false">
      <c r="A288" s="2" t="s">
        <v>193</v>
      </c>
      <c r="B288" s="2" t="s">
        <v>64</v>
      </c>
      <c r="C288" s="2" t="s">
        <v>161</v>
      </c>
      <c r="D288" s="2" t="s">
        <v>162</v>
      </c>
      <c r="E288" s="2" t="s">
        <v>146</v>
      </c>
      <c r="F288" s="2" t="n">
        <v>14</v>
      </c>
      <c r="G288" s="2" t="n">
        <v>40</v>
      </c>
      <c r="H288" s="2" t="n">
        <f aca="false">ROUND(F288/G288*100,0)</f>
        <v>35</v>
      </c>
      <c r="I288" s="2" t="str">
        <f aca="false">IF(H288&gt;=workload_config!$B$2,"Overloaded",IF(H288&lt;workload_config!$B$3,"Underutilized","Optimal"))</f>
        <v>Underutilized</v>
      </c>
      <c r="J288" s="2" t="n">
        <v>1</v>
      </c>
      <c r="K288" s="2" t="n">
        <v>14</v>
      </c>
      <c r="L288" s="2" t="n">
        <v>0</v>
      </c>
      <c r="M288" s="2" t="n">
        <v>0</v>
      </c>
    </row>
    <row r="289" customFormat="false" ht="15" hidden="false" customHeight="false" outlineLevel="0" collapsed="false">
      <c r="A289" s="2" t="s">
        <v>193</v>
      </c>
      <c r="B289" s="2" t="s">
        <v>64</v>
      </c>
      <c r="C289" s="2" t="s">
        <v>163</v>
      </c>
      <c r="D289" s="2" t="s">
        <v>164</v>
      </c>
      <c r="E289" s="2" t="s">
        <v>146</v>
      </c>
      <c r="F289" s="2" t="n">
        <v>32</v>
      </c>
      <c r="G289" s="2" t="n">
        <v>40</v>
      </c>
      <c r="H289" s="2" t="n">
        <f aca="false">ROUND(F289/G289*100,0)</f>
        <v>80</v>
      </c>
      <c r="I289" s="2" t="str">
        <f aca="false">IF(H289&gt;=workload_config!$B$2,"Overloaded",IF(H289&lt;workload_config!$B$3,"Underutilized","Optimal"))</f>
        <v>Optimal</v>
      </c>
      <c r="J289" s="2" t="n">
        <v>3</v>
      </c>
      <c r="K289" s="2" t="n">
        <v>32</v>
      </c>
      <c r="L289" s="2" t="n">
        <v>0</v>
      </c>
      <c r="M289" s="2" t="n">
        <v>0</v>
      </c>
    </row>
    <row r="290" customFormat="false" ht="15" hidden="false" customHeight="false" outlineLevel="0" collapsed="false">
      <c r="A290" s="2" t="s">
        <v>193</v>
      </c>
      <c r="B290" s="2" t="s">
        <v>64</v>
      </c>
      <c r="C290" s="2" t="s">
        <v>165</v>
      </c>
      <c r="D290" s="2" t="s">
        <v>166</v>
      </c>
      <c r="E290" s="2" t="s">
        <v>146</v>
      </c>
      <c r="F290" s="2" t="n">
        <v>10</v>
      </c>
      <c r="G290" s="2" t="n">
        <v>40</v>
      </c>
      <c r="H290" s="2" t="n">
        <f aca="false">ROUND(F290/G290*100,0)</f>
        <v>25</v>
      </c>
      <c r="I290" s="2" t="str">
        <f aca="false">IF(H290&gt;=workload_config!$B$2,"Overloaded",IF(H290&lt;workload_config!$B$3,"Underutilized","Optimal"))</f>
        <v>Underutilized</v>
      </c>
      <c r="J290" s="2" t="n">
        <v>1</v>
      </c>
      <c r="K290" s="2" t="n">
        <v>10</v>
      </c>
      <c r="L290" s="2" t="n">
        <v>0</v>
      </c>
      <c r="M290" s="2" t="n">
        <v>0</v>
      </c>
    </row>
    <row r="291" customFormat="false" ht="15" hidden="false" customHeight="false" outlineLevel="0" collapsed="false">
      <c r="A291" s="2" t="s">
        <v>193</v>
      </c>
      <c r="B291" s="2" t="s">
        <v>64</v>
      </c>
      <c r="C291" s="2" t="s">
        <v>167</v>
      </c>
      <c r="D291" s="2" t="s">
        <v>168</v>
      </c>
      <c r="E291" s="2" t="s">
        <v>169</v>
      </c>
      <c r="F291" s="2" t="n">
        <v>35</v>
      </c>
      <c r="G291" s="2" t="n">
        <v>40</v>
      </c>
      <c r="H291" s="2" t="n">
        <f aca="false">ROUND(F291/G291*100,0)</f>
        <v>88</v>
      </c>
      <c r="I291" s="2" t="str">
        <f aca="false">IF(H291&gt;=workload_config!$B$2,"Overloaded",IF(H291&lt;workload_config!$B$3,"Underutilized","Optimal"))</f>
        <v>Overloaded</v>
      </c>
      <c r="J291" s="2" t="n">
        <v>4</v>
      </c>
      <c r="K291" s="2" t="n">
        <v>17</v>
      </c>
      <c r="L291" s="2" t="n">
        <v>18</v>
      </c>
      <c r="M291" s="2" t="n">
        <v>0</v>
      </c>
    </row>
    <row r="292" customFormat="false" ht="15" hidden="false" customHeight="false" outlineLevel="0" collapsed="false">
      <c r="A292" s="2" t="s">
        <v>193</v>
      </c>
      <c r="B292" s="2" t="s">
        <v>64</v>
      </c>
      <c r="C292" s="2" t="s">
        <v>170</v>
      </c>
      <c r="D292" s="2" t="s">
        <v>171</v>
      </c>
      <c r="E292" s="2" t="s">
        <v>169</v>
      </c>
      <c r="F292" s="2" t="n">
        <v>26</v>
      </c>
      <c r="G292" s="2" t="n">
        <v>40</v>
      </c>
      <c r="H292" s="2" t="n">
        <f aca="false">ROUND(F292/G292*100,0)</f>
        <v>65</v>
      </c>
      <c r="I292" s="2" t="str">
        <f aca="false">IF(H292&gt;=workload_config!$B$2,"Overloaded",IF(H292&lt;workload_config!$B$3,"Underutilized","Optimal"))</f>
        <v>Optimal</v>
      </c>
      <c r="J292" s="2" t="n">
        <v>3</v>
      </c>
      <c r="K292" s="2" t="n">
        <v>26</v>
      </c>
      <c r="L292" s="2" t="n">
        <v>0</v>
      </c>
      <c r="M292" s="2" t="n">
        <v>0</v>
      </c>
    </row>
    <row r="293" customFormat="false" ht="15" hidden="false" customHeight="false" outlineLevel="0" collapsed="false">
      <c r="A293" s="2" t="s">
        <v>193</v>
      </c>
      <c r="B293" s="2" t="s">
        <v>64</v>
      </c>
      <c r="C293" s="2" t="s">
        <v>172</v>
      </c>
      <c r="D293" s="2" t="s">
        <v>173</v>
      </c>
      <c r="E293" s="2" t="s">
        <v>169</v>
      </c>
      <c r="F293" s="2" t="n">
        <v>21</v>
      </c>
      <c r="G293" s="2" t="n">
        <v>40</v>
      </c>
      <c r="H293" s="2" t="n">
        <f aca="false">ROUND(F293/G293*100,0)</f>
        <v>53</v>
      </c>
      <c r="I293" s="2" t="str">
        <f aca="false">IF(H293&gt;=workload_config!$B$2,"Overloaded",IF(H293&lt;workload_config!$B$3,"Underutilized","Optimal"))</f>
        <v>Optimal</v>
      </c>
      <c r="J293" s="2" t="n">
        <v>2</v>
      </c>
      <c r="K293" s="2" t="n">
        <v>21</v>
      </c>
      <c r="L293" s="2" t="n">
        <v>0</v>
      </c>
      <c r="M293" s="2" t="n">
        <v>0</v>
      </c>
    </row>
    <row r="294" customFormat="false" ht="15" hidden="false" customHeight="false" outlineLevel="0" collapsed="false">
      <c r="A294" s="2" t="s">
        <v>193</v>
      </c>
      <c r="B294" s="2" t="s">
        <v>64</v>
      </c>
      <c r="C294" s="2" t="s">
        <v>174</v>
      </c>
      <c r="D294" s="2" t="s">
        <v>175</v>
      </c>
      <c r="E294" s="2" t="s">
        <v>169</v>
      </c>
      <c r="F294" s="2" t="n">
        <v>7</v>
      </c>
      <c r="G294" s="2" t="n">
        <v>40</v>
      </c>
      <c r="H294" s="2" t="n">
        <f aca="false">ROUND(F294/G294*100,0)</f>
        <v>18</v>
      </c>
      <c r="I294" s="2" t="str">
        <f aca="false">IF(H294&gt;=workload_config!$B$2,"Overloaded",IF(H294&lt;workload_config!$B$3,"Underutilized","Optimal"))</f>
        <v>Underutilized</v>
      </c>
      <c r="J294" s="2" t="n">
        <v>1</v>
      </c>
      <c r="K294" s="2" t="n">
        <v>7</v>
      </c>
      <c r="L294" s="2" t="n">
        <v>0</v>
      </c>
      <c r="M294" s="2" t="n">
        <v>0</v>
      </c>
    </row>
    <row r="295" customFormat="false" ht="15" hidden="false" customHeight="false" outlineLevel="0" collapsed="false">
      <c r="A295" s="2" t="s">
        <v>193</v>
      </c>
      <c r="B295" s="2" t="s">
        <v>64</v>
      </c>
      <c r="C295" s="2" t="s">
        <v>176</v>
      </c>
      <c r="D295" s="2" t="s">
        <v>177</v>
      </c>
      <c r="E295" s="2" t="s">
        <v>169</v>
      </c>
      <c r="F295" s="2" t="n">
        <v>27</v>
      </c>
      <c r="G295" s="2" t="n">
        <v>40</v>
      </c>
      <c r="H295" s="2" t="n">
        <f aca="false">ROUND(F295/G295*100,0)</f>
        <v>68</v>
      </c>
      <c r="I295" s="2" t="str">
        <f aca="false">IF(H295&gt;=workload_config!$B$2,"Overloaded",IF(H295&lt;workload_config!$B$3,"Underutilized","Optimal"))</f>
        <v>Optimal</v>
      </c>
      <c r="J295" s="2" t="n">
        <v>3</v>
      </c>
      <c r="K295" s="2" t="n">
        <v>27</v>
      </c>
      <c r="L295" s="2" t="n">
        <v>0</v>
      </c>
      <c r="M295" s="2" t="n">
        <v>0</v>
      </c>
    </row>
    <row r="296" customFormat="false" ht="15" hidden="false" customHeight="false" outlineLevel="0" collapsed="false">
      <c r="A296" s="2" t="s">
        <v>193</v>
      </c>
      <c r="B296" s="2" t="s">
        <v>64</v>
      </c>
      <c r="C296" s="2" t="s">
        <v>178</v>
      </c>
      <c r="D296" s="2" t="s">
        <v>179</v>
      </c>
      <c r="E296" s="2" t="s">
        <v>169</v>
      </c>
      <c r="F296" s="2" t="n">
        <v>10</v>
      </c>
      <c r="G296" s="2" t="n">
        <v>40</v>
      </c>
      <c r="H296" s="2" t="n">
        <f aca="false">ROUND(F296/G296*100,0)</f>
        <v>25</v>
      </c>
      <c r="I296" s="2" t="str">
        <f aca="false">IF(H296&gt;=workload_config!$B$2,"Overloaded",IF(H296&lt;workload_config!$B$3,"Underutilized","Optimal"))</f>
        <v>Underutilized</v>
      </c>
      <c r="J296" s="2" t="n">
        <v>1</v>
      </c>
      <c r="K296" s="2" t="n">
        <v>0</v>
      </c>
      <c r="L296" s="2" t="n">
        <v>10</v>
      </c>
      <c r="M296" s="2" t="n">
        <v>0</v>
      </c>
    </row>
    <row r="297" customFormat="false" ht="15" hidden="false" customHeight="false" outlineLevel="0" collapsed="false">
      <c r="A297" s="2" t="s">
        <v>193</v>
      </c>
      <c r="B297" s="2" t="s">
        <v>64</v>
      </c>
      <c r="C297" s="2" t="s">
        <v>180</v>
      </c>
      <c r="D297" s="2" t="s">
        <v>181</v>
      </c>
      <c r="E297" s="2" t="s">
        <v>169</v>
      </c>
      <c r="F297" s="2" t="n">
        <v>0</v>
      </c>
      <c r="G297" s="2" t="n">
        <v>32</v>
      </c>
      <c r="H297" s="2" t="n">
        <f aca="false">ROUND(F297/G297*100,0)</f>
        <v>0</v>
      </c>
      <c r="I297" s="2" t="str">
        <f aca="false">IF(H297&gt;=workload_config!$B$2,"Overloaded",IF(H297&lt;workload_config!$B$3,"Underutilized","Optimal"))</f>
        <v>Underutilized</v>
      </c>
      <c r="J297" s="2" t="n">
        <v>0</v>
      </c>
      <c r="K297" s="2" t="n">
        <v>0</v>
      </c>
      <c r="L297" s="2" t="n">
        <v>0</v>
      </c>
      <c r="M297" s="2" t="n">
        <v>0</v>
      </c>
    </row>
    <row r="298" customFormat="false" ht="15" hidden="false" customHeight="false" outlineLevel="0" collapsed="false">
      <c r="A298" s="2" t="s">
        <v>193</v>
      </c>
      <c r="B298" s="2" t="s">
        <v>64</v>
      </c>
      <c r="C298" s="2" t="s">
        <v>182</v>
      </c>
      <c r="D298" s="2" t="s">
        <v>183</v>
      </c>
      <c r="E298" s="2" t="s">
        <v>169</v>
      </c>
      <c r="F298" s="2" t="n">
        <v>9</v>
      </c>
      <c r="G298" s="2" t="n">
        <v>20</v>
      </c>
      <c r="H298" s="2" t="n">
        <f aca="false">ROUND(F298/G298*100,0)</f>
        <v>45</v>
      </c>
      <c r="I298" s="2" t="str">
        <f aca="false">IF(H298&gt;=workload_config!$B$2,"Overloaded",IF(H298&lt;workload_config!$B$3,"Underutilized","Optimal"))</f>
        <v>Underutilized</v>
      </c>
      <c r="J298" s="2" t="n">
        <v>1</v>
      </c>
      <c r="K298" s="2" t="n">
        <v>9</v>
      </c>
      <c r="L298" s="2" t="n">
        <v>0</v>
      </c>
      <c r="M298" s="2" t="n">
        <v>0</v>
      </c>
    </row>
    <row r="299" customFormat="false" ht="15" hidden="false" customHeight="false" outlineLevel="0" collapsed="false">
      <c r="A299" s="2" t="s">
        <v>193</v>
      </c>
      <c r="B299" s="2" t="s">
        <v>64</v>
      </c>
      <c r="C299" s="2" t="s">
        <v>184</v>
      </c>
      <c r="D299" s="2" t="s">
        <v>185</v>
      </c>
      <c r="E299" s="2" t="s">
        <v>169</v>
      </c>
      <c r="F299" s="2" t="n">
        <v>25</v>
      </c>
      <c r="G299" s="2" t="n">
        <v>32</v>
      </c>
      <c r="H299" s="2" t="n">
        <f aca="false">ROUND(F299/G299*100,0)</f>
        <v>78</v>
      </c>
      <c r="I299" s="2" t="str">
        <f aca="false">IF(H299&gt;=workload_config!$B$2,"Overloaded",IF(H299&lt;workload_config!$B$3,"Underutilized","Optimal"))</f>
        <v>Optimal</v>
      </c>
      <c r="J299" s="2" t="n">
        <v>2</v>
      </c>
      <c r="K299" s="2" t="n">
        <v>25</v>
      </c>
      <c r="L299" s="2" t="n">
        <v>0</v>
      </c>
      <c r="M299" s="2" t="n">
        <v>0</v>
      </c>
    </row>
    <row r="300" customFormat="false" ht="15" hidden="false" customHeight="false" outlineLevel="0" collapsed="false">
      <c r="A300" s="2" t="s">
        <v>193</v>
      </c>
      <c r="B300" s="2" t="s">
        <v>64</v>
      </c>
      <c r="C300" s="2" t="s">
        <v>186</v>
      </c>
      <c r="D300" s="2" t="s">
        <v>187</v>
      </c>
      <c r="E300" s="2" t="s">
        <v>169</v>
      </c>
      <c r="F300" s="2" t="n">
        <v>9</v>
      </c>
      <c r="G300" s="2" t="n">
        <v>40</v>
      </c>
      <c r="H300" s="2" t="n">
        <f aca="false">ROUND(F300/G300*100,0)</f>
        <v>23</v>
      </c>
      <c r="I300" s="2" t="str">
        <f aca="false">IF(H300&gt;=workload_config!$B$2,"Overloaded",IF(H300&lt;workload_config!$B$3,"Underutilized","Optimal"))</f>
        <v>Underutilized</v>
      </c>
      <c r="J300" s="2" t="n">
        <v>1</v>
      </c>
      <c r="K300" s="2" t="n">
        <v>9</v>
      </c>
      <c r="L300" s="2" t="n">
        <v>0</v>
      </c>
      <c r="M300" s="2" t="n">
        <v>0</v>
      </c>
    </row>
    <row r="301" customFormat="false" ht="15" hidden="false" customHeight="false" outlineLevel="0" collapsed="false">
      <c r="A301" s="2" t="s">
        <v>193</v>
      </c>
      <c r="B301" s="2" t="s">
        <v>64</v>
      </c>
      <c r="C301" s="2" t="s">
        <v>188</v>
      </c>
      <c r="D301" s="2" t="s">
        <v>189</v>
      </c>
      <c r="E301" s="2" t="s">
        <v>169</v>
      </c>
      <c r="F301" s="2" t="n">
        <v>25</v>
      </c>
      <c r="G301" s="2" t="n">
        <v>40</v>
      </c>
      <c r="H301" s="2" t="n">
        <f aca="false">ROUND(F301/G301*100,0)</f>
        <v>63</v>
      </c>
      <c r="I301" s="2" t="str">
        <f aca="false">IF(H301&gt;=workload_config!$B$2,"Overloaded",IF(H301&lt;workload_config!$B$3,"Underutilized","Optimal"))</f>
        <v>Optimal</v>
      </c>
      <c r="J301" s="2" t="n">
        <v>2</v>
      </c>
      <c r="K301" s="2" t="n">
        <v>12</v>
      </c>
      <c r="L301" s="2" t="n">
        <v>13</v>
      </c>
      <c r="M301" s="2" t="n">
        <v>0</v>
      </c>
    </row>
    <row r="302" customFormat="false" ht="15" hidden="false" customHeight="false" outlineLevel="0" collapsed="false">
      <c r="A302" s="2" t="s">
        <v>194</v>
      </c>
      <c r="B302" s="2" t="s">
        <v>64</v>
      </c>
      <c r="C302" s="2" t="s">
        <v>65</v>
      </c>
      <c r="D302" s="2" t="s">
        <v>66</v>
      </c>
      <c r="E302" s="2" t="s">
        <v>67</v>
      </c>
      <c r="F302" s="2" t="n">
        <v>47</v>
      </c>
      <c r="G302" s="2" t="n">
        <v>40</v>
      </c>
      <c r="H302" s="2" t="n">
        <f aca="false">ROUND(F302/G302*100,0)</f>
        <v>118</v>
      </c>
      <c r="I302" s="2" t="str">
        <f aca="false">IF(H302&gt;=workload_config!$B$2,"Overloaded",IF(H302&lt;workload_config!$B$3,"Underutilized","Optimal"))</f>
        <v>Overloaded</v>
      </c>
      <c r="J302" s="2" t="n">
        <v>5</v>
      </c>
      <c r="K302" s="2" t="n">
        <v>27</v>
      </c>
      <c r="L302" s="2" t="n">
        <v>20</v>
      </c>
      <c r="M302" s="2" t="n">
        <v>8</v>
      </c>
    </row>
    <row r="303" customFormat="false" ht="15" hidden="false" customHeight="false" outlineLevel="0" collapsed="false">
      <c r="A303" s="2" t="s">
        <v>194</v>
      </c>
      <c r="B303" s="2" t="s">
        <v>64</v>
      </c>
      <c r="C303" s="2" t="s">
        <v>68</v>
      </c>
      <c r="D303" s="2" t="s">
        <v>69</v>
      </c>
      <c r="E303" s="2" t="s">
        <v>67</v>
      </c>
      <c r="F303" s="2" t="n">
        <v>16</v>
      </c>
      <c r="G303" s="2" t="n">
        <v>40</v>
      </c>
      <c r="H303" s="2" t="n">
        <f aca="false">ROUND(F303/G303*100,0)</f>
        <v>40</v>
      </c>
      <c r="I303" s="2" t="str">
        <f aca="false">IF(H303&gt;=workload_config!$B$2,"Overloaded",IF(H303&lt;workload_config!$B$3,"Underutilized","Optimal"))</f>
        <v>Underutilized</v>
      </c>
      <c r="J303" s="2" t="n">
        <v>2</v>
      </c>
      <c r="K303" s="2" t="n">
        <v>16</v>
      </c>
      <c r="L303" s="2" t="n">
        <v>0</v>
      </c>
      <c r="M303" s="2" t="n">
        <v>0</v>
      </c>
    </row>
    <row r="304" customFormat="false" ht="15" hidden="false" customHeight="false" outlineLevel="0" collapsed="false">
      <c r="A304" s="2" t="s">
        <v>194</v>
      </c>
      <c r="B304" s="2" t="s">
        <v>64</v>
      </c>
      <c r="C304" s="2" t="s">
        <v>70</v>
      </c>
      <c r="D304" s="2" t="s">
        <v>71</v>
      </c>
      <c r="E304" s="2" t="s">
        <v>67</v>
      </c>
      <c r="F304" s="2" t="n">
        <v>34</v>
      </c>
      <c r="G304" s="2" t="n">
        <v>40</v>
      </c>
      <c r="H304" s="2" t="n">
        <f aca="false">ROUND(F304/G304*100,0)</f>
        <v>85</v>
      </c>
      <c r="I304" s="2" t="str">
        <f aca="false">IF(H304&gt;=workload_config!$B$2,"Overloaded",IF(H304&lt;workload_config!$B$3,"Underutilized","Optimal"))</f>
        <v>Optimal</v>
      </c>
      <c r="J304" s="2" t="n">
        <v>3</v>
      </c>
      <c r="K304" s="2" t="n">
        <v>26</v>
      </c>
      <c r="L304" s="2" t="n">
        <v>8</v>
      </c>
      <c r="M304" s="2" t="n">
        <v>0</v>
      </c>
    </row>
    <row r="305" customFormat="false" ht="15" hidden="false" customHeight="false" outlineLevel="0" collapsed="false">
      <c r="A305" s="2" t="s">
        <v>194</v>
      </c>
      <c r="B305" s="2" t="s">
        <v>64</v>
      </c>
      <c r="C305" s="2" t="s">
        <v>72</v>
      </c>
      <c r="D305" s="2" t="s">
        <v>73</v>
      </c>
      <c r="E305" s="2" t="s">
        <v>67</v>
      </c>
      <c r="F305" s="2" t="n">
        <v>38</v>
      </c>
      <c r="G305" s="2" t="n">
        <v>40</v>
      </c>
      <c r="H305" s="2" t="n">
        <f aca="false">ROUND(F305/G305*100,0)</f>
        <v>95</v>
      </c>
      <c r="I305" s="2" t="str">
        <f aca="false">IF(H305&gt;=workload_config!$B$2,"Overloaded",IF(H305&lt;workload_config!$B$3,"Underutilized","Optimal"))</f>
        <v>Overloaded</v>
      </c>
      <c r="J305" s="2" t="n">
        <v>4</v>
      </c>
      <c r="K305" s="2" t="n">
        <v>38</v>
      </c>
      <c r="L305" s="2" t="n">
        <v>0</v>
      </c>
      <c r="M305" s="2" t="n">
        <v>1</v>
      </c>
    </row>
    <row r="306" customFormat="false" ht="15" hidden="false" customHeight="false" outlineLevel="0" collapsed="false">
      <c r="A306" s="2" t="s">
        <v>194</v>
      </c>
      <c r="B306" s="2" t="s">
        <v>64</v>
      </c>
      <c r="C306" s="2" t="s">
        <v>74</v>
      </c>
      <c r="D306" s="2" t="s">
        <v>75</v>
      </c>
      <c r="E306" s="2" t="s">
        <v>67</v>
      </c>
      <c r="F306" s="2" t="n">
        <v>27</v>
      </c>
      <c r="G306" s="2" t="n">
        <v>40</v>
      </c>
      <c r="H306" s="2" t="n">
        <f aca="false">ROUND(F306/G306*100,0)</f>
        <v>68</v>
      </c>
      <c r="I306" s="2" t="str">
        <f aca="false">IF(H306&gt;=workload_config!$B$2,"Overloaded",IF(H306&lt;workload_config!$B$3,"Underutilized","Optimal"))</f>
        <v>Optimal</v>
      </c>
      <c r="J306" s="2" t="n">
        <v>3</v>
      </c>
      <c r="K306" s="2" t="n">
        <v>27</v>
      </c>
      <c r="L306" s="2" t="n">
        <v>0</v>
      </c>
      <c r="M306" s="2" t="n">
        <v>0</v>
      </c>
    </row>
    <row r="307" customFormat="false" ht="15" hidden="false" customHeight="false" outlineLevel="0" collapsed="false">
      <c r="A307" s="2" t="s">
        <v>194</v>
      </c>
      <c r="B307" s="2" t="s">
        <v>64</v>
      </c>
      <c r="C307" s="2" t="s">
        <v>76</v>
      </c>
      <c r="D307" s="2" t="s">
        <v>77</v>
      </c>
      <c r="E307" s="2" t="s">
        <v>67</v>
      </c>
      <c r="F307" s="2" t="n">
        <v>34</v>
      </c>
      <c r="G307" s="2" t="n">
        <v>40</v>
      </c>
      <c r="H307" s="2" t="n">
        <f aca="false">ROUND(F307/G307*100,0)</f>
        <v>85</v>
      </c>
      <c r="I307" s="2" t="str">
        <f aca="false">IF(H307&gt;=workload_config!$B$2,"Overloaded",IF(H307&lt;workload_config!$B$3,"Underutilized","Optimal"))</f>
        <v>Optimal</v>
      </c>
      <c r="J307" s="2" t="n">
        <v>3</v>
      </c>
      <c r="K307" s="2" t="n">
        <v>34</v>
      </c>
      <c r="L307" s="2" t="n">
        <v>0</v>
      </c>
      <c r="M307" s="2" t="n">
        <v>0</v>
      </c>
    </row>
    <row r="308" customFormat="false" ht="15" hidden="false" customHeight="false" outlineLevel="0" collapsed="false">
      <c r="A308" s="2" t="s">
        <v>194</v>
      </c>
      <c r="B308" s="2" t="s">
        <v>64</v>
      </c>
      <c r="C308" s="2" t="s">
        <v>78</v>
      </c>
      <c r="D308" s="2" t="s">
        <v>79</v>
      </c>
      <c r="E308" s="2" t="s">
        <v>67</v>
      </c>
      <c r="F308" s="2" t="n">
        <v>33</v>
      </c>
      <c r="G308" s="2" t="n">
        <v>40</v>
      </c>
      <c r="H308" s="2" t="n">
        <f aca="false">ROUND(F308/G308*100,0)</f>
        <v>83</v>
      </c>
      <c r="I308" s="2" t="str">
        <f aca="false">IF(H308&gt;=workload_config!$B$2,"Overloaded",IF(H308&lt;workload_config!$B$3,"Underutilized","Optimal"))</f>
        <v>Optimal</v>
      </c>
      <c r="J308" s="2" t="n">
        <v>3</v>
      </c>
      <c r="K308" s="2" t="n">
        <v>33</v>
      </c>
      <c r="L308" s="2" t="n">
        <v>0</v>
      </c>
      <c r="M308" s="2" t="n">
        <v>0</v>
      </c>
    </row>
    <row r="309" customFormat="false" ht="15" hidden="false" customHeight="false" outlineLevel="0" collapsed="false">
      <c r="A309" s="2" t="s">
        <v>194</v>
      </c>
      <c r="B309" s="2" t="s">
        <v>64</v>
      </c>
      <c r="C309" s="2" t="s">
        <v>80</v>
      </c>
      <c r="D309" s="2" t="s">
        <v>81</v>
      </c>
      <c r="E309" s="2" t="s">
        <v>67</v>
      </c>
      <c r="F309" s="2" t="n">
        <v>29</v>
      </c>
      <c r="G309" s="2" t="n">
        <v>40</v>
      </c>
      <c r="H309" s="2" t="n">
        <f aca="false">ROUND(F309/G309*100,0)</f>
        <v>73</v>
      </c>
      <c r="I309" s="2" t="str">
        <f aca="false">IF(H309&gt;=workload_config!$B$2,"Overloaded",IF(H309&lt;workload_config!$B$3,"Underutilized","Optimal"))</f>
        <v>Optimal</v>
      </c>
      <c r="J309" s="2" t="n">
        <v>3</v>
      </c>
      <c r="K309" s="2" t="n">
        <v>8</v>
      </c>
      <c r="L309" s="2" t="n">
        <v>21</v>
      </c>
      <c r="M309" s="2" t="n">
        <v>0</v>
      </c>
    </row>
    <row r="310" customFormat="false" ht="15" hidden="false" customHeight="false" outlineLevel="0" collapsed="false">
      <c r="A310" s="2" t="s">
        <v>194</v>
      </c>
      <c r="B310" s="2" t="s">
        <v>64</v>
      </c>
      <c r="C310" s="2" t="s">
        <v>82</v>
      </c>
      <c r="D310" s="2" t="s">
        <v>83</v>
      </c>
      <c r="E310" s="2" t="s">
        <v>67</v>
      </c>
      <c r="F310" s="2" t="n">
        <v>30</v>
      </c>
      <c r="G310" s="2" t="n">
        <v>40</v>
      </c>
      <c r="H310" s="2" t="n">
        <f aca="false">ROUND(F310/G310*100,0)</f>
        <v>75</v>
      </c>
      <c r="I310" s="2" t="str">
        <f aca="false">IF(H310&gt;=workload_config!$B$2,"Overloaded",IF(H310&lt;workload_config!$B$3,"Underutilized","Optimal"))</f>
        <v>Optimal</v>
      </c>
      <c r="J310" s="2" t="n">
        <v>3</v>
      </c>
      <c r="K310" s="2" t="n">
        <v>9</v>
      </c>
      <c r="L310" s="2" t="n">
        <v>21</v>
      </c>
      <c r="M310" s="2" t="n">
        <v>0</v>
      </c>
    </row>
    <row r="311" customFormat="false" ht="15" hidden="false" customHeight="false" outlineLevel="0" collapsed="false">
      <c r="A311" s="2" t="s">
        <v>194</v>
      </c>
      <c r="B311" s="2" t="s">
        <v>64</v>
      </c>
      <c r="C311" s="2" t="s">
        <v>84</v>
      </c>
      <c r="D311" s="2" t="s">
        <v>85</v>
      </c>
      <c r="E311" s="2" t="s">
        <v>67</v>
      </c>
      <c r="F311" s="2" t="n">
        <v>33</v>
      </c>
      <c r="G311" s="2" t="n">
        <v>40</v>
      </c>
      <c r="H311" s="2" t="n">
        <f aca="false">ROUND(F311/G311*100,0)</f>
        <v>83</v>
      </c>
      <c r="I311" s="2" t="str">
        <f aca="false">IF(H311&gt;=workload_config!$B$2,"Overloaded",IF(H311&lt;workload_config!$B$3,"Underutilized","Optimal"))</f>
        <v>Optimal</v>
      </c>
      <c r="J311" s="2" t="n">
        <v>3</v>
      </c>
      <c r="K311" s="2" t="n">
        <v>11</v>
      </c>
      <c r="L311" s="2" t="n">
        <v>22</v>
      </c>
      <c r="M311" s="2" t="n">
        <v>0</v>
      </c>
    </row>
    <row r="312" customFormat="false" ht="15" hidden="false" customHeight="false" outlineLevel="0" collapsed="false">
      <c r="A312" s="2" t="s">
        <v>194</v>
      </c>
      <c r="B312" s="2" t="s">
        <v>64</v>
      </c>
      <c r="C312" s="2" t="s">
        <v>86</v>
      </c>
      <c r="D312" s="2" t="s">
        <v>87</v>
      </c>
      <c r="E312" s="2" t="s">
        <v>67</v>
      </c>
      <c r="F312" s="2" t="n">
        <v>30</v>
      </c>
      <c r="G312" s="2" t="n">
        <v>40</v>
      </c>
      <c r="H312" s="2" t="n">
        <f aca="false">ROUND(F312/G312*100,0)</f>
        <v>75</v>
      </c>
      <c r="I312" s="2" t="str">
        <f aca="false">IF(H312&gt;=workload_config!$B$2,"Overloaded",IF(H312&lt;workload_config!$B$3,"Underutilized","Optimal"))</f>
        <v>Optimal</v>
      </c>
      <c r="J312" s="2" t="n">
        <v>3</v>
      </c>
      <c r="K312" s="2" t="n">
        <v>30</v>
      </c>
      <c r="L312" s="2" t="n">
        <v>0</v>
      </c>
      <c r="M312" s="2" t="n">
        <v>0</v>
      </c>
    </row>
    <row r="313" customFormat="false" ht="15" hidden="false" customHeight="false" outlineLevel="0" collapsed="false">
      <c r="A313" s="2" t="s">
        <v>194</v>
      </c>
      <c r="B313" s="2" t="s">
        <v>64</v>
      </c>
      <c r="C313" s="2" t="s">
        <v>88</v>
      </c>
      <c r="D313" s="2" t="s">
        <v>89</v>
      </c>
      <c r="E313" s="2" t="s">
        <v>67</v>
      </c>
      <c r="F313" s="2" t="n">
        <v>26</v>
      </c>
      <c r="G313" s="2" t="n">
        <v>40</v>
      </c>
      <c r="H313" s="2" t="n">
        <f aca="false">ROUND(F313/G313*100,0)</f>
        <v>65</v>
      </c>
      <c r="I313" s="2" t="str">
        <f aca="false">IF(H313&gt;=workload_config!$B$2,"Overloaded",IF(H313&lt;workload_config!$B$3,"Underutilized","Optimal"))</f>
        <v>Optimal</v>
      </c>
      <c r="J313" s="2" t="n">
        <v>3</v>
      </c>
      <c r="K313" s="2" t="n">
        <v>26</v>
      </c>
      <c r="L313" s="2" t="n">
        <v>0</v>
      </c>
      <c r="M313" s="2" t="n">
        <v>0</v>
      </c>
    </row>
    <row r="314" customFormat="false" ht="15" hidden="false" customHeight="false" outlineLevel="0" collapsed="false">
      <c r="A314" s="2" t="s">
        <v>194</v>
      </c>
      <c r="B314" s="2" t="s">
        <v>64</v>
      </c>
      <c r="C314" s="2" t="s">
        <v>90</v>
      </c>
      <c r="D314" s="2" t="s">
        <v>91</v>
      </c>
      <c r="E314" s="2" t="s">
        <v>67</v>
      </c>
      <c r="F314" s="2" t="n">
        <v>29</v>
      </c>
      <c r="G314" s="2" t="n">
        <v>40</v>
      </c>
      <c r="H314" s="2" t="n">
        <f aca="false">ROUND(F314/G314*100,0)</f>
        <v>73</v>
      </c>
      <c r="I314" s="2" t="str">
        <f aca="false">IF(H314&gt;=workload_config!$B$2,"Overloaded",IF(H314&lt;workload_config!$B$3,"Underutilized","Optimal"))</f>
        <v>Optimal</v>
      </c>
      <c r="J314" s="2" t="n">
        <v>3</v>
      </c>
      <c r="K314" s="2" t="n">
        <v>29</v>
      </c>
      <c r="L314" s="2" t="n">
        <v>0</v>
      </c>
      <c r="M314" s="2" t="n">
        <v>0</v>
      </c>
    </row>
    <row r="315" customFormat="false" ht="15" hidden="false" customHeight="false" outlineLevel="0" collapsed="false">
      <c r="A315" s="2" t="s">
        <v>194</v>
      </c>
      <c r="B315" s="2" t="s">
        <v>64</v>
      </c>
      <c r="C315" s="2" t="s">
        <v>92</v>
      </c>
      <c r="D315" s="2" t="s">
        <v>93</v>
      </c>
      <c r="E315" s="2" t="s">
        <v>67</v>
      </c>
      <c r="F315" s="2" t="n">
        <v>31</v>
      </c>
      <c r="G315" s="2" t="n">
        <v>40</v>
      </c>
      <c r="H315" s="2" t="n">
        <f aca="false">ROUND(F315/G315*100,0)</f>
        <v>78</v>
      </c>
      <c r="I315" s="2" t="str">
        <f aca="false">IF(H315&gt;=workload_config!$B$2,"Overloaded",IF(H315&lt;workload_config!$B$3,"Underutilized","Optimal"))</f>
        <v>Optimal</v>
      </c>
      <c r="J315" s="2" t="n">
        <v>3</v>
      </c>
      <c r="K315" s="2" t="n">
        <v>19</v>
      </c>
      <c r="L315" s="2" t="n">
        <v>12</v>
      </c>
      <c r="M315" s="2" t="n">
        <v>0</v>
      </c>
    </row>
    <row r="316" customFormat="false" ht="15" hidden="false" customHeight="false" outlineLevel="0" collapsed="false">
      <c r="A316" s="2" t="s">
        <v>194</v>
      </c>
      <c r="B316" s="2" t="s">
        <v>64</v>
      </c>
      <c r="C316" s="2" t="s">
        <v>94</v>
      </c>
      <c r="D316" s="2" t="s">
        <v>95</v>
      </c>
      <c r="E316" s="2" t="s">
        <v>96</v>
      </c>
      <c r="F316" s="2" t="n">
        <v>15</v>
      </c>
      <c r="G316" s="2" t="n">
        <v>40</v>
      </c>
      <c r="H316" s="2" t="n">
        <f aca="false">ROUND(F316/G316*100,0)</f>
        <v>38</v>
      </c>
      <c r="I316" s="2" t="str">
        <f aca="false">IF(H316&gt;=workload_config!$B$2,"Overloaded",IF(H316&lt;workload_config!$B$3,"Underutilized","Optimal"))</f>
        <v>Underutilized</v>
      </c>
      <c r="J316" s="2" t="n">
        <v>2</v>
      </c>
      <c r="K316" s="2" t="n">
        <v>15</v>
      </c>
      <c r="L316" s="2" t="n">
        <v>0</v>
      </c>
      <c r="M316" s="2" t="n">
        <v>0</v>
      </c>
    </row>
    <row r="317" customFormat="false" ht="15" hidden="false" customHeight="false" outlineLevel="0" collapsed="false">
      <c r="A317" s="2" t="s">
        <v>194</v>
      </c>
      <c r="B317" s="2" t="s">
        <v>64</v>
      </c>
      <c r="C317" s="2" t="s">
        <v>97</v>
      </c>
      <c r="D317" s="2" t="s">
        <v>98</v>
      </c>
      <c r="E317" s="2" t="s">
        <v>96</v>
      </c>
      <c r="F317" s="2" t="n">
        <v>20</v>
      </c>
      <c r="G317" s="2" t="n">
        <v>40</v>
      </c>
      <c r="H317" s="2" t="n">
        <f aca="false">ROUND(F317/G317*100,0)</f>
        <v>50</v>
      </c>
      <c r="I317" s="2" t="str">
        <f aca="false">IF(H317&gt;=workload_config!$B$2,"Overloaded",IF(H317&lt;workload_config!$B$3,"Underutilized","Optimal"))</f>
        <v>Optimal</v>
      </c>
      <c r="J317" s="2" t="n">
        <v>2</v>
      </c>
      <c r="K317" s="2" t="n">
        <v>20</v>
      </c>
      <c r="L317" s="2" t="n">
        <v>0</v>
      </c>
      <c r="M317" s="2" t="n">
        <v>0</v>
      </c>
    </row>
    <row r="318" customFormat="false" ht="15" hidden="false" customHeight="false" outlineLevel="0" collapsed="false">
      <c r="A318" s="2" t="s">
        <v>194</v>
      </c>
      <c r="B318" s="2" t="s">
        <v>64</v>
      </c>
      <c r="C318" s="2" t="s">
        <v>99</v>
      </c>
      <c r="D318" s="2" t="s">
        <v>100</v>
      </c>
      <c r="E318" s="2" t="s">
        <v>96</v>
      </c>
      <c r="F318" s="2" t="n">
        <v>12</v>
      </c>
      <c r="G318" s="2" t="n">
        <v>40</v>
      </c>
      <c r="H318" s="2" t="n">
        <f aca="false">ROUND(F318/G318*100,0)</f>
        <v>30</v>
      </c>
      <c r="I318" s="2" t="str">
        <f aca="false">IF(H318&gt;=workload_config!$B$2,"Overloaded",IF(H318&lt;workload_config!$B$3,"Underutilized","Optimal"))</f>
        <v>Underutilized</v>
      </c>
      <c r="J318" s="2" t="n">
        <v>1</v>
      </c>
      <c r="K318" s="2" t="n">
        <v>12</v>
      </c>
      <c r="L318" s="2" t="n">
        <v>0</v>
      </c>
      <c r="M318" s="2" t="n">
        <v>0</v>
      </c>
    </row>
    <row r="319" customFormat="false" ht="15" hidden="false" customHeight="false" outlineLevel="0" collapsed="false">
      <c r="A319" s="2" t="s">
        <v>194</v>
      </c>
      <c r="B319" s="2" t="s">
        <v>64</v>
      </c>
      <c r="C319" s="2" t="s">
        <v>101</v>
      </c>
      <c r="D319" s="2" t="s">
        <v>102</v>
      </c>
      <c r="E319" s="2" t="s">
        <v>96</v>
      </c>
      <c r="F319" s="2" t="n">
        <v>29</v>
      </c>
      <c r="G319" s="2" t="n">
        <v>40</v>
      </c>
      <c r="H319" s="2" t="n">
        <f aca="false">ROUND(F319/G319*100,0)</f>
        <v>73</v>
      </c>
      <c r="I319" s="2" t="str">
        <f aca="false">IF(H319&gt;=workload_config!$B$2,"Overloaded",IF(H319&lt;workload_config!$B$3,"Underutilized","Optimal"))</f>
        <v>Optimal</v>
      </c>
      <c r="J319" s="2" t="n">
        <v>3</v>
      </c>
      <c r="K319" s="2" t="n">
        <v>29</v>
      </c>
      <c r="L319" s="2" t="n">
        <v>0</v>
      </c>
      <c r="M319" s="2" t="n">
        <v>0</v>
      </c>
    </row>
    <row r="320" customFormat="false" ht="15" hidden="false" customHeight="false" outlineLevel="0" collapsed="false">
      <c r="A320" s="2" t="s">
        <v>194</v>
      </c>
      <c r="B320" s="2" t="s">
        <v>64</v>
      </c>
      <c r="C320" s="2" t="s">
        <v>103</v>
      </c>
      <c r="D320" s="2" t="s">
        <v>104</v>
      </c>
      <c r="E320" s="2" t="s">
        <v>96</v>
      </c>
      <c r="F320" s="2" t="n">
        <v>36</v>
      </c>
      <c r="G320" s="2" t="n">
        <v>40</v>
      </c>
      <c r="H320" s="2" t="n">
        <f aca="false">ROUND(F320/G320*100,0)</f>
        <v>90</v>
      </c>
      <c r="I320" s="2" t="str">
        <f aca="false">IF(H320&gt;=workload_config!$B$2,"Overloaded",IF(H320&lt;workload_config!$B$3,"Underutilized","Optimal"))</f>
        <v>Overloaded</v>
      </c>
      <c r="J320" s="2" t="n">
        <v>4</v>
      </c>
      <c r="K320" s="2" t="n">
        <v>18</v>
      </c>
      <c r="L320" s="2" t="n">
        <v>18</v>
      </c>
      <c r="M320" s="2" t="n">
        <v>0</v>
      </c>
    </row>
    <row r="321" customFormat="false" ht="15" hidden="false" customHeight="false" outlineLevel="0" collapsed="false">
      <c r="A321" s="2" t="s">
        <v>194</v>
      </c>
      <c r="B321" s="2" t="s">
        <v>64</v>
      </c>
      <c r="C321" s="2" t="s">
        <v>105</v>
      </c>
      <c r="D321" s="2" t="s">
        <v>106</v>
      </c>
      <c r="E321" s="2" t="s">
        <v>96</v>
      </c>
      <c r="F321" s="2" t="n">
        <v>31</v>
      </c>
      <c r="G321" s="2" t="n">
        <v>40</v>
      </c>
      <c r="H321" s="2" t="n">
        <f aca="false">ROUND(F321/G321*100,0)</f>
        <v>78</v>
      </c>
      <c r="I321" s="2" t="str">
        <f aca="false">IF(H321&gt;=workload_config!$B$2,"Overloaded",IF(H321&lt;workload_config!$B$3,"Underutilized","Optimal"))</f>
        <v>Optimal</v>
      </c>
      <c r="J321" s="2" t="n">
        <v>3</v>
      </c>
      <c r="K321" s="2" t="n">
        <v>31</v>
      </c>
      <c r="L321" s="2" t="n">
        <v>0</v>
      </c>
      <c r="M321" s="2" t="n">
        <v>0</v>
      </c>
    </row>
    <row r="322" customFormat="false" ht="15" hidden="false" customHeight="false" outlineLevel="0" collapsed="false">
      <c r="A322" s="2" t="s">
        <v>194</v>
      </c>
      <c r="B322" s="2" t="s">
        <v>64</v>
      </c>
      <c r="C322" s="2" t="s">
        <v>107</v>
      </c>
      <c r="D322" s="2" t="s">
        <v>108</v>
      </c>
      <c r="E322" s="2" t="s">
        <v>96</v>
      </c>
      <c r="F322" s="2" t="n">
        <v>31</v>
      </c>
      <c r="G322" s="2" t="n">
        <v>40</v>
      </c>
      <c r="H322" s="2" t="n">
        <f aca="false">ROUND(F322/G322*100,0)</f>
        <v>78</v>
      </c>
      <c r="I322" s="2" t="str">
        <f aca="false">IF(H322&gt;=workload_config!$B$2,"Overloaded",IF(H322&lt;workload_config!$B$3,"Underutilized","Optimal"))</f>
        <v>Optimal</v>
      </c>
      <c r="J322" s="2" t="n">
        <v>3</v>
      </c>
      <c r="K322" s="2" t="n">
        <v>31</v>
      </c>
      <c r="L322" s="2" t="n">
        <v>0</v>
      </c>
      <c r="M322" s="2" t="n">
        <v>0</v>
      </c>
    </row>
    <row r="323" customFormat="false" ht="15" hidden="false" customHeight="false" outlineLevel="0" collapsed="false">
      <c r="A323" s="2" t="s">
        <v>194</v>
      </c>
      <c r="B323" s="2" t="s">
        <v>64</v>
      </c>
      <c r="C323" s="2" t="s">
        <v>109</v>
      </c>
      <c r="D323" s="2" t="s">
        <v>110</v>
      </c>
      <c r="E323" s="2" t="s">
        <v>96</v>
      </c>
      <c r="F323" s="2" t="n">
        <v>38</v>
      </c>
      <c r="G323" s="2" t="n">
        <v>40</v>
      </c>
      <c r="H323" s="2" t="n">
        <f aca="false">ROUND(F323/G323*100,0)</f>
        <v>95</v>
      </c>
      <c r="I323" s="2" t="str">
        <f aca="false">IF(H323&gt;=workload_config!$B$2,"Overloaded",IF(H323&lt;workload_config!$B$3,"Underutilized","Optimal"))</f>
        <v>Overloaded</v>
      </c>
      <c r="J323" s="2" t="n">
        <v>4</v>
      </c>
      <c r="K323" s="2" t="n">
        <v>38</v>
      </c>
      <c r="L323" s="2" t="n">
        <v>0</v>
      </c>
      <c r="M323" s="2" t="n">
        <v>1</v>
      </c>
    </row>
    <row r="324" customFormat="false" ht="15" hidden="false" customHeight="false" outlineLevel="0" collapsed="false">
      <c r="A324" s="2" t="s">
        <v>194</v>
      </c>
      <c r="B324" s="2" t="s">
        <v>64</v>
      </c>
      <c r="C324" s="2" t="s">
        <v>111</v>
      </c>
      <c r="D324" s="2" t="s">
        <v>112</v>
      </c>
      <c r="E324" s="2" t="s">
        <v>96</v>
      </c>
      <c r="F324" s="2" t="n">
        <v>32</v>
      </c>
      <c r="G324" s="2" t="n">
        <v>40</v>
      </c>
      <c r="H324" s="2" t="n">
        <f aca="false">ROUND(F324/G324*100,0)</f>
        <v>80</v>
      </c>
      <c r="I324" s="2" t="str">
        <f aca="false">IF(H324&gt;=workload_config!$B$2,"Overloaded",IF(H324&lt;workload_config!$B$3,"Underutilized","Optimal"))</f>
        <v>Optimal</v>
      </c>
      <c r="J324" s="2" t="n">
        <v>3</v>
      </c>
      <c r="K324" s="2" t="n">
        <v>32</v>
      </c>
      <c r="L324" s="2" t="n">
        <v>0</v>
      </c>
      <c r="M324" s="2" t="n">
        <v>0</v>
      </c>
    </row>
    <row r="325" customFormat="false" ht="15" hidden="false" customHeight="false" outlineLevel="0" collapsed="false">
      <c r="A325" s="2" t="s">
        <v>194</v>
      </c>
      <c r="B325" s="2" t="s">
        <v>64</v>
      </c>
      <c r="C325" s="2" t="s">
        <v>113</v>
      </c>
      <c r="D325" s="2" t="s">
        <v>114</v>
      </c>
      <c r="E325" s="2" t="s">
        <v>96</v>
      </c>
      <c r="F325" s="2" t="n">
        <v>29</v>
      </c>
      <c r="G325" s="2" t="n">
        <v>40</v>
      </c>
      <c r="H325" s="2" t="n">
        <f aca="false">ROUND(F325/G325*100,0)</f>
        <v>73</v>
      </c>
      <c r="I325" s="2" t="str">
        <f aca="false">IF(H325&gt;=workload_config!$B$2,"Overloaded",IF(H325&lt;workload_config!$B$3,"Underutilized","Optimal"))</f>
        <v>Optimal</v>
      </c>
      <c r="J325" s="2" t="n">
        <v>3</v>
      </c>
      <c r="K325" s="2" t="n">
        <v>18</v>
      </c>
      <c r="L325" s="2" t="n">
        <v>11</v>
      </c>
      <c r="M325" s="2" t="n">
        <v>0</v>
      </c>
    </row>
    <row r="326" customFormat="false" ht="15" hidden="false" customHeight="false" outlineLevel="0" collapsed="false">
      <c r="A326" s="2" t="s">
        <v>194</v>
      </c>
      <c r="B326" s="2" t="s">
        <v>64</v>
      </c>
      <c r="C326" s="2" t="s">
        <v>115</v>
      </c>
      <c r="D326" s="2" t="s">
        <v>116</v>
      </c>
      <c r="E326" s="2" t="s">
        <v>96</v>
      </c>
      <c r="F326" s="2" t="n">
        <v>27</v>
      </c>
      <c r="G326" s="2" t="n">
        <v>40</v>
      </c>
      <c r="H326" s="2" t="n">
        <f aca="false">ROUND(F326/G326*100,0)</f>
        <v>68</v>
      </c>
      <c r="I326" s="2" t="str">
        <f aca="false">IF(H326&gt;=workload_config!$B$2,"Overloaded",IF(H326&lt;workload_config!$B$3,"Underutilized","Optimal"))</f>
        <v>Optimal</v>
      </c>
      <c r="J326" s="2" t="n">
        <v>3</v>
      </c>
      <c r="K326" s="2" t="n">
        <v>27</v>
      </c>
      <c r="L326" s="2" t="n">
        <v>0</v>
      </c>
      <c r="M326" s="2" t="n">
        <v>0</v>
      </c>
    </row>
    <row r="327" customFormat="false" ht="15" hidden="false" customHeight="false" outlineLevel="0" collapsed="false">
      <c r="A327" s="2" t="s">
        <v>194</v>
      </c>
      <c r="B327" s="2" t="s">
        <v>64</v>
      </c>
      <c r="C327" s="2" t="s">
        <v>117</v>
      </c>
      <c r="D327" s="2" t="s">
        <v>118</v>
      </c>
      <c r="E327" s="2" t="s">
        <v>119</v>
      </c>
      <c r="F327" s="2" t="n">
        <v>20</v>
      </c>
      <c r="G327" s="2" t="n">
        <v>40</v>
      </c>
      <c r="H327" s="2" t="n">
        <f aca="false">ROUND(F327/G327*100,0)</f>
        <v>50</v>
      </c>
      <c r="I327" s="2" t="str">
        <f aca="false">IF(H327&gt;=workload_config!$B$2,"Overloaded",IF(H327&lt;workload_config!$B$3,"Underutilized","Optimal"))</f>
        <v>Optimal</v>
      </c>
      <c r="J327" s="2" t="n">
        <v>2</v>
      </c>
      <c r="K327" s="2" t="n">
        <v>20</v>
      </c>
      <c r="L327" s="2" t="n">
        <v>0</v>
      </c>
      <c r="M327" s="2" t="n">
        <v>0</v>
      </c>
    </row>
    <row r="328" customFormat="false" ht="15" hidden="false" customHeight="false" outlineLevel="0" collapsed="false">
      <c r="A328" s="2" t="s">
        <v>194</v>
      </c>
      <c r="B328" s="2" t="s">
        <v>64</v>
      </c>
      <c r="C328" s="2" t="s">
        <v>120</v>
      </c>
      <c r="D328" s="2" t="s">
        <v>121</v>
      </c>
      <c r="E328" s="2" t="s">
        <v>119</v>
      </c>
      <c r="F328" s="2" t="n">
        <v>30</v>
      </c>
      <c r="G328" s="2" t="n">
        <v>40</v>
      </c>
      <c r="H328" s="2" t="n">
        <f aca="false">ROUND(F328/G328*100,0)</f>
        <v>75</v>
      </c>
      <c r="I328" s="2" t="str">
        <f aca="false">IF(H328&gt;=workload_config!$B$2,"Overloaded",IF(H328&lt;workload_config!$B$3,"Underutilized","Optimal"))</f>
        <v>Optimal</v>
      </c>
      <c r="J328" s="2" t="n">
        <v>3</v>
      </c>
      <c r="K328" s="2" t="n">
        <v>22</v>
      </c>
      <c r="L328" s="2" t="n">
        <v>8</v>
      </c>
      <c r="M328" s="2" t="n">
        <v>0</v>
      </c>
    </row>
    <row r="329" customFormat="false" ht="15" hidden="false" customHeight="false" outlineLevel="0" collapsed="false">
      <c r="A329" s="2" t="s">
        <v>194</v>
      </c>
      <c r="B329" s="2" t="s">
        <v>64</v>
      </c>
      <c r="C329" s="2" t="s">
        <v>122</v>
      </c>
      <c r="D329" s="2" t="s">
        <v>123</v>
      </c>
      <c r="E329" s="2" t="s">
        <v>119</v>
      </c>
      <c r="F329" s="2" t="n">
        <v>37</v>
      </c>
      <c r="G329" s="2" t="n">
        <v>40</v>
      </c>
      <c r="H329" s="2" t="n">
        <f aca="false">ROUND(F329/G329*100,0)</f>
        <v>93</v>
      </c>
      <c r="I329" s="2" t="str">
        <f aca="false">IF(H329&gt;=workload_config!$B$2,"Overloaded",IF(H329&lt;workload_config!$B$3,"Underutilized","Optimal"))</f>
        <v>Overloaded</v>
      </c>
      <c r="J329" s="2" t="n">
        <v>4</v>
      </c>
      <c r="K329" s="2" t="n">
        <v>27</v>
      </c>
      <c r="L329" s="2" t="n">
        <v>10</v>
      </c>
      <c r="M329" s="2" t="n">
        <v>3</v>
      </c>
    </row>
    <row r="330" customFormat="false" ht="15" hidden="false" customHeight="false" outlineLevel="0" collapsed="false">
      <c r="A330" s="2" t="s">
        <v>194</v>
      </c>
      <c r="B330" s="2" t="s">
        <v>64</v>
      </c>
      <c r="C330" s="2" t="s">
        <v>124</v>
      </c>
      <c r="D330" s="2" t="s">
        <v>125</v>
      </c>
      <c r="E330" s="2" t="s">
        <v>119</v>
      </c>
      <c r="F330" s="2" t="n">
        <v>18</v>
      </c>
      <c r="G330" s="2" t="n">
        <v>40</v>
      </c>
      <c r="H330" s="2" t="n">
        <f aca="false">ROUND(F330/G330*100,0)</f>
        <v>45</v>
      </c>
      <c r="I330" s="2" t="str">
        <f aca="false">IF(H330&gt;=workload_config!$B$2,"Overloaded",IF(H330&lt;workload_config!$B$3,"Underutilized","Optimal"))</f>
        <v>Underutilized</v>
      </c>
      <c r="J330" s="2" t="n">
        <v>2</v>
      </c>
      <c r="K330" s="2" t="n">
        <v>18</v>
      </c>
      <c r="L330" s="2" t="n">
        <v>0</v>
      </c>
      <c r="M330" s="2" t="n">
        <v>0</v>
      </c>
    </row>
    <row r="331" customFormat="false" ht="15" hidden="false" customHeight="false" outlineLevel="0" collapsed="false">
      <c r="A331" s="2" t="s">
        <v>194</v>
      </c>
      <c r="B331" s="2" t="s">
        <v>64</v>
      </c>
      <c r="C331" s="2" t="s">
        <v>126</v>
      </c>
      <c r="D331" s="2" t="s">
        <v>127</v>
      </c>
      <c r="E331" s="2" t="s">
        <v>119</v>
      </c>
      <c r="F331" s="2" t="n">
        <v>39</v>
      </c>
      <c r="G331" s="2" t="n">
        <v>40</v>
      </c>
      <c r="H331" s="2" t="n">
        <f aca="false">ROUND(F331/G331*100,0)</f>
        <v>98</v>
      </c>
      <c r="I331" s="2" t="str">
        <f aca="false">IF(H331&gt;=workload_config!$B$2,"Overloaded",IF(H331&lt;workload_config!$B$3,"Underutilized","Optimal"))</f>
        <v>Overloaded</v>
      </c>
      <c r="J331" s="2" t="n">
        <v>4</v>
      </c>
      <c r="K331" s="2" t="n">
        <v>39</v>
      </c>
      <c r="L331" s="2" t="n">
        <v>0</v>
      </c>
      <c r="M331" s="2" t="n">
        <v>1</v>
      </c>
    </row>
    <row r="332" customFormat="false" ht="15" hidden="false" customHeight="false" outlineLevel="0" collapsed="false">
      <c r="A332" s="2" t="s">
        <v>194</v>
      </c>
      <c r="B332" s="2" t="s">
        <v>64</v>
      </c>
      <c r="C332" s="2" t="s">
        <v>128</v>
      </c>
      <c r="D332" s="2" t="s">
        <v>129</v>
      </c>
      <c r="E332" s="2" t="s">
        <v>119</v>
      </c>
      <c r="F332" s="2" t="n">
        <v>24</v>
      </c>
      <c r="G332" s="2" t="n">
        <v>40</v>
      </c>
      <c r="H332" s="2" t="n">
        <f aca="false">ROUND(F332/G332*100,0)</f>
        <v>60</v>
      </c>
      <c r="I332" s="2" t="str">
        <f aca="false">IF(H332&gt;=workload_config!$B$2,"Overloaded",IF(H332&lt;workload_config!$B$3,"Underutilized","Optimal"))</f>
        <v>Optimal</v>
      </c>
      <c r="J332" s="2" t="n">
        <v>2</v>
      </c>
      <c r="K332" s="2" t="n">
        <v>24</v>
      </c>
      <c r="L332" s="2" t="n">
        <v>0</v>
      </c>
      <c r="M332" s="2" t="n">
        <v>0</v>
      </c>
    </row>
    <row r="333" customFormat="false" ht="15" hidden="false" customHeight="false" outlineLevel="0" collapsed="false">
      <c r="A333" s="2" t="s">
        <v>194</v>
      </c>
      <c r="B333" s="2" t="s">
        <v>64</v>
      </c>
      <c r="C333" s="2" t="s">
        <v>130</v>
      </c>
      <c r="D333" s="2" t="s">
        <v>131</v>
      </c>
      <c r="E333" s="2" t="s">
        <v>119</v>
      </c>
      <c r="F333" s="2" t="n">
        <v>27</v>
      </c>
      <c r="G333" s="2" t="n">
        <v>40</v>
      </c>
      <c r="H333" s="2" t="n">
        <f aca="false">ROUND(F333/G333*100,0)</f>
        <v>68</v>
      </c>
      <c r="I333" s="2" t="str">
        <f aca="false">IF(H333&gt;=workload_config!$B$2,"Overloaded",IF(H333&lt;workload_config!$B$3,"Underutilized","Optimal"))</f>
        <v>Optimal</v>
      </c>
      <c r="J333" s="2" t="n">
        <v>3</v>
      </c>
      <c r="K333" s="2" t="n">
        <v>27</v>
      </c>
      <c r="L333" s="2" t="n">
        <v>0</v>
      </c>
      <c r="M333" s="2" t="n">
        <v>0</v>
      </c>
    </row>
    <row r="334" customFormat="false" ht="15" hidden="false" customHeight="false" outlineLevel="0" collapsed="false">
      <c r="A334" s="2" t="s">
        <v>194</v>
      </c>
      <c r="B334" s="2" t="s">
        <v>64</v>
      </c>
      <c r="C334" s="2" t="s">
        <v>132</v>
      </c>
      <c r="D334" s="2" t="s">
        <v>133</v>
      </c>
      <c r="E334" s="2" t="s">
        <v>119</v>
      </c>
      <c r="F334" s="2" t="n">
        <v>27</v>
      </c>
      <c r="G334" s="2" t="n">
        <v>40</v>
      </c>
      <c r="H334" s="2" t="n">
        <f aca="false">ROUND(F334/G334*100,0)</f>
        <v>68</v>
      </c>
      <c r="I334" s="2" t="str">
        <f aca="false">IF(H334&gt;=workload_config!$B$2,"Overloaded",IF(H334&lt;workload_config!$B$3,"Underutilized","Optimal"))</f>
        <v>Optimal</v>
      </c>
      <c r="J334" s="2" t="n">
        <v>3</v>
      </c>
      <c r="K334" s="2" t="n">
        <v>17</v>
      </c>
      <c r="L334" s="2" t="n">
        <v>10</v>
      </c>
      <c r="M334" s="2" t="n">
        <v>0</v>
      </c>
    </row>
    <row r="335" customFormat="false" ht="15" hidden="false" customHeight="false" outlineLevel="0" collapsed="false">
      <c r="A335" s="2" t="s">
        <v>194</v>
      </c>
      <c r="B335" s="2" t="s">
        <v>64</v>
      </c>
      <c r="C335" s="2" t="s">
        <v>134</v>
      </c>
      <c r="D335" s="2" t="s">
        <v>135</v>
      </c>
      <c r="E335" s="2" t="s">
        <v>119</v>
      </c>
      <c r="F335" s="2" t="n">
        <v>30</v>
      </c>
      <c r="G335" s="2" t="n">
        <v>40</v>
      </c>
      <c r="H335" s="2" t="n">
        <f aca="false">ROUND(F335/G335*100,0)</f>
        <v>75</v>
      </c>
      <c r="I335" s="2" t="str">
        <f aca="false">IF(H335&gt;=workload_config!$B$2,"Overloaded",IF(H335&lt;workload_config!$B$3,"Underutilized","Optimal"))</f>
        <v>Optimal</v>
      </c>
      <c r="J335" s="2" t="n">
        <v>3</v>
      </c>
      <c r="K335" s="2" t="n">
        <v>20</v>
      </c>
      <c r="L335" s="2" t="n">
        <v>10</v>
      </c>
      <c r="M335" s="2" t="n">
        <v>0</v>
      </c>
    </row>
    <row r="336" customFormat="false" ht="15" hidden="false" customHeight="false" outlineLevel="0" collapsed="false">
      <c r="A336" s="2" t="s">
        <v>194</v>
      </c>
      <c r="B336" s="2" t="s">
        <v>64</v>
      </c>
      <c r="C336" s="2" t="s">
        <v>136</v>
      </c>
      <c r="D336" s="2" t="s">
        <v>137</v>
      </c>
      <c r="E336" s="2" t="s">
        <v>119</v>
      </c>
      <c r="F336" s="2" t="n">
        <v>25</v>
      </c>
      <c r="G336" s="2" t="n">
        <v>40</v>
      </c>
      <c r="H336" s="2" t="n">
        <f aca="false">ROUND(F336/G336*100,0)</f>
        <v>63</v>
      </c>
      <c r="I336" s="2" t="str">
        <f aca="false">IF(H336&gt;=workload_config!$B$2,"Overloaded",IF(H336&lt;workload_config!$B$3,"Underutilized","Optimal"))</f>
        <v>Optimal</v>
      </c>
      <c r="J336" s="2" t="n">
        <v>2</v>
      </c>
      <c r="K336" s="2" t="n">
        <v>25</v>
      </c>
      <c r="L336" s="2" t="n">
        <v>0</v>
      </c>
      <c r="M336" s="2" t="n">
        <v>0</v>
      </c>
    </row>
    <row r="337" customFormat="false" ht="15" hidden="false" customHeight="false" outlineLevel="0" collapsed="false">
      <c r="A337" s="2" t="s">
        <v>194</v>
      </c>
      <c r="B337" s="2" t="s">
        <v>64</v>
      </c>
      <c r="C337" s="2" t="s">
        <v>138</v>
      </c>
      <c r="D337" s="2" t="s">
        <v>139</v>
      </c>
      <c r="E337" s="2" t="s">
        <v>119</v>
      </c>
      <c r="F337" s="2" t="n">
        <v>14</v>
      </c>
      <c r="G337" s="2" t="n">
        <v>40</v>
      </c>
      <c r="H337" s="2" t="n">
        <f aca="false">ROUND(F337/G337*100,0)</f>
        <v>35</v>
      </c>
      <c r="I337" s="2" t="str">
        <f aca="false">IF(H337&gt;=workload_config!$B$2,"Overloaded",IF(H337&lt;workload_config!$B$3,"Underutilized","Optimal"))</f>
        <v>Underutilized</v>
      </c>
      <c r="J337" s="2" t="n">
        <v>1</v>
      </c>
      <c r="K337" s="2" t="n">
        <v>14</v>
      </c>
      <c r="L337" s="2" t="n">
        <v>0</v>
      </c>
      <c r="M337" s="2" t="n">
        <v>0</v>
      </c>
    </row>
    <row r="338" customFormat="false" ht="15" hidden="false" customHeight="false" outlineLevel="0" collapsed="false">
      <c r="A338" s="2" t="s">
        <v>194</v>
      </c>
      <c r="B338" s="2" t="s">
        <v>64</v>
      </c>
      <c r="C338" s="2" t="s">
        <v>140</v>
      </c>
      <c r="D338" s="2" t="s">
        <v>141</v>
      </c>
      <c r="E338" s="2" t="s">
        <v>119</v>
      </c>
      <c r="F338" s="2" t="n">
        <v>32</v>
      </c>
      <c r="G338" s="2" t="n">
        <v>40</v>
      </c>
      <c r="H338" s="2" t="n">
        <f aca="false">ROUND(F338/G338*100,0)</f>
        <v>80</v>
      </c>
      <c r="I338" s="2" t="str">
        <f aca="false">IF(H338&gt;=workload_config!$B$2,"Overloaded",IF(H338&lt;workload_config!$B$3,"Underutilized","Optimal"))</f>
        <v>Optimal</v>
      </c>
      <c r="J338" s="2" t="n">
        <v>3</v>
      </c>
      <c r="K338" s="2" t="n">
        <v>24</v>
      </c>
      <c r="L338" s="2" t="n">
        <v>8</v>
      </c>
      <c r="M338" s="2" t="n">
        <v>0</v>
      </c>
    </row>
    <row r="339" customFormat="false" ht="15" hidden="false" customHeight="false" outlineLevel="0" collapsed="false">
      <c r="A339" s="2" t="s">
        <v>194</v>
      </c>
      <c r="B339" s="2" t="s">
        <v>64</v>
      </c>
      <c r="C339" s="2" t="s">
        <v>142</v>
      </c>
      <c r="D339" s="2" t="s">
        <v>143</v>
      </c>
      <c r="E339" s="2" t="s">
        <v>119</v>
      </c>
      <c r="F339" s="2" t="n">
        <v>29</v>
      </c>
      <c r="G339" s="2" t="n">
        <v>40</v>
      </c>
      <c r="H339" s="2" t="n">
        <f aca="false">ROUND(F339/G339*100,0)</f>
        <v>73</v>
      </c>
      <c r="I339" s="2" t="str">
        <f aca="false">IF(H339&gt;=workload_config!$B$2,"Overloaded",IF(H339&lt;workload_config!$B$3,"Underutilized","Optimal"))</f>
        <v>Optimal</v>
      </c>
      <c r="J339" s="2" t="n">
        <v>3</v>
      </c>
      <c r="K339" s="2" t="n">
        <v>18</v>
      </c>
      <c r="L339" s="2" t="n">
        <v>11</v>
      </c>
      <c r="M339" s="2" t="n">
        <v>0</v>
      </c>
    </row>
    <row r="340" customFormat="false" ht="15" hidden="false" customHeight="false" outlineLevel="0" collapsed="false">
      <c r="A340" s="2" t="s">
        <v>194</v>
      </c>
      <c r="B340" s="2" t="s">
        <v>64</v>
      </c>
      <c r="C340" s="2" t="s">
        <v>144</v>
      </c>
      <c r="D340" s="2" t="s">
        <v>145</v>
      </c>
      <c r="E340" s="2" t="s">
        <v>146</v>
      </c>
      <c r="F340" s="2" t="n">
        <v>14</v>
      </c>
      <c r="G340" s="2" t="n">
        <v>40</v>
      </c>
      <c r="H340" s="2" t="n">
        <f aca="false">ROUND(F340/G340*100,0)</f>
        <v>35</v>
      </c>
      <c r="I340" s="2" t="str">
        <f aca="false">IF(H340&gt;=workload_config!$B$2,"Overloaded",IF(H340&lt;workload_config!$B$3,"Underutilized","Optimal"))</f>
        <v>Underutilized</v>
      </c>
      <c r="J340" s="2" t="n">
        <v>1</v>
      </c>
      <c r="K340" s="2" t="n">
        <v>14</v>
      </c>
      <c r="L340" s="2" t="n">
        <v>0</v>
      </c>
      <c r="M340" s="2" t="n">
        <v>0</v>
      </c>
    </row>
    <row r="341" customFormat="false" ht="15" hidden="false" customHeight="false" outlineLevel="0" collapsed="false">
      <c r="A341" s="2" t="s">
        <v>194</v>
      </c>
      <c r="B341" s="2" t="s">
        <v>64</v>
      </c>
      <c r="C341" s="2" t="s">
        <v>147</v>
      </c>
      <c r="D341" s="2" t="s">
        <v>148</v>
      </c>
      <c r="E341" s="2" t="s">
        <v>146</v>
      </c>
      <c r="F341" s="2" t="n">
        <v>16</v>
      </c>
      <c r="G341" s="2" t="n">
        <v>40</v>
      </c>
      <c r="H341" s="2" t="n">
        <f aca="false">ROUND(F341/G341*100,0)</f>
        <v>40</v>
      </c>
      <c r="I341" s="2" t="str">
        <f aca="false">IF(H341&gt;=workload_config!$B$2,"Overloaded",IF(H341&lt;workload_config!$B$3,"Underutilized","Optimal"))</f>
        <v>Underutilized</v>
      </c>
      <c r="J341" s="2" t="n">
        <v>2</v>
      </c>
      <c r="K341" s="2" t="n">
        <v>5</v>
      </c>
      <c r="L341" s="2" t="n">
        <v>11</v>
      </c>
      <c r="M341" s="2" t="n">
        <v>0</v>
      </c>
    </row>
    <row r="342" customFormat="false" ht="15" hidden="false" customHeight="false" outlineLevel="0" collapsed="false">
      <c r="A342" s="2" t="s">
        <v>194</v>
      </c>
      <c r="B342" s="2" t="s">
        <v>64</v>
      </c>
      <c r="C342" s="2" t="s">
        <v>149</v>
      </c>
      <c r="D342" s="2" t="s">
        <v>150</v>
      </c>
      <c r="E342" s="2" t="s">
        <v>146</v>
      </c>
      <c r="F342" s="2" t="n">
        <v>27</v>
      </c>
      <c r="G342" s="2" t="n">
        <v>40</v>
      </c>
      <c r="H342" s="2" t="n">
        <f aca="false">ROUND(F342/G342*100,0)</f>
        <v>68</v>
      </c>
      <c r="I342" s="2" t="str">
        <f aca="false">IF(H342&gt;=workload_config!$B$2,"Overloaded",IF(H342&lt;workload_config!$B$3,"Underutilized","Optimal"))</f>
        <v>Optimal</v>
      </c>
      <c r="J342" s="2" t="n">
        <v>3</v>
      </c>
      <c r="K342" s="2" t="n">
        <v>20</v>
      </c>
      <c r="L342" s="2" t="n">
        <v>7</v>
      </c>
      <c r="M342" s="2" t="n">
        <v>0</v>
      </c>
    </row>
    <row r="343" customFormat="false" ht="15" hidden="false" customHeight="false" outlineLevel="0" collapsed="false">
      <c r="A343" s="2" t="s">
        <v>194</v>
      </c>
      <c r="B343" s="2" t="s">
        <v>64</v>
      </c>
      <c r="C343" s="2" t="s">
        <v>151</v>
      </c>
      <c r="D343" s="2" t="s">
        <v>152</v>
      </c>
      <c r="E343" s="2" t="s">
        <v>146</v>
      </c>
      <c r="F343" s="2" t="n">
        <v>30</v>
      </c>
      <c r="G343" s="2" t="n">
        <v>40</v>
      </c>
      <c r="H343" s="2" t="n">
        <f aca="false">ROUND(F343/G343*100,0)</f>
        <v>75</v>
      </c>
      <c r="I343" s="2" t="str">
        <f aca="false">IF(H343&gt;=workload_config!$B$2,"Overloaded",IF(H343&lt;workload_config!$B$3,"Underutilized","Optimal"))</f>
        <v>Optimal</v>
      </c>
      <c r="J343" s="2" t="n">
        <v>3</v>
      </c>
      <c r="K343" s="2" t="n">
        <v>30</v>
      </c>
      <c r="L343" s="2" t="n">
        <v>0</v>
      </c>
      <c r="M343" s="2" t="n">
        <v>0</v>
      </c>
    </row>
    <row r="344" customFormat="false" ht="15" hidden="false" customHeight="false" outlineLevel="0" collapsed="false">
      <c r="A344" s="2" t="s">
        <v>194</v>
      </c>
      <c r="B344" s="2" t="s">
        <v>64</v>
      </c>
      <c r="C344" s="2" t="s">
        <v>153</v>
      </c>
      <c r="D344" s="2" t="s">
        <v>154</v>
      </c>
      <c r="E344" s="2" t="s">
        <v>146</v>
      </c>
      <c r="F344" s="2" t="n">
        <v>24</v>
      </c>
      <c r="G344" s="2" t="n">
        <v>40</v>
      </c>
      <c r="H344" s="2" t="n">
        <f aca="false">ROUND(F344/G344*100,0)</f>
        <v>60</v>
      </c>
      <c r="I344" s="2" t="str">
        <f aca="false">IF(H344&gt;=workload_config!$B$2,"Overloaded",IF(H344&lt;workload_config!$B$3,"Underutilized","Optimal"))</f>
        <v>Optimal</v>
      </c>
      <c r="J344" s="2" t="n">
        <v>2</v>
      </c>
      <c r="K344" s="2" t="n">
        <v>24</v>
      </c>
      <c r="L344" s="2" t="n">
        <v>0</v>
      </c>
      <c r="M344" s="2" t="n">
        <v>0</v>
      </c>
    </row>
    <row r="345" customFormat="false" ht="15" hidden="false" customHeight="false" outlineLevel="0" collapsed="false">
      <c r="A345" s="2" t="s">
        <v>194</v>
      </c>
      <c r="B345" s="2" t="s">
        <v>64</v>
      </c>
      <c r="C345" s="2" t="s">
        <v>155</v>
      </c>
      <c r="D345" s="2" t="s">
        <v>156</v>
      </c>
      <c r="E345" s="2" t="s">
        <v>146</v>
      </c>
      <c r="F345" s="2" t="n">
        <v>40</v>
      </c>
      <c r="G345" s="2" t="n">
        <v>40</v>
      </c>
      <c r="H345" s="2" t="n">
        <f aca="false">ROUND(F345/G345*100,0)</f>
        <v>100</v>
      </c>
      <c r="I345" s="2" t="str">
        <f aca="false">IF(H345&gt;=workload_config!$B$2,"Overloaded",IF(H345&lt;workload_config!$B$3,"Underutilized","Optimal"))</f>
        <v>Overloaded</v>
      </c>
      <c r="J345" s="2" t="n">
        <v>4</v>
      </c>
      <c r="K345" s="2" t="n">
        <v>40</v>
      </c>
      <c r="L345" s="2" t="n">
        <v>0</v>
      </c>
      <c r="M345" s="2" t="n">
        <v>3</v>
      </c>
    </row>
    <row r="346" customFormat="false" ht="15" hidden="false" customHeight="false" outlineLevel="0" collapsed="false">
      <c r="A346" s="2" t="s">
        <v>194</v>
      </c>
      <c r="B346" s="2" t="s">
        <v>64</v>
      </c>
      <c r="C346" s="2" t="s">
        <v>157</v>
      </c>
      <c r="D346" s="2" t="s">
        <v>158</v>
      </c>
      <c r="E346" s="2" t="s">
        <v>146</v>
      </c>
      <c r="F346" s="2" t="n">
        <v>9</v>
      </c>
      <c r="G346" s="2" t="n">
        <v>40</v>
      </c>
      <c r="H346" s="2" t="n">
        <f aca="false">ROUND(F346/G346*100,0)</f>
        <v>23</v>
      </c>
      <c r="I346" s="2" t="str">
        <f aca="false">IF(H346&gt;=workload_config!$B$2,"Overloaded",IF(H346&lt;workload_config!$B$3,"Underutilized","Optimal"))</f>
        <v>Underutilized</v>
      </c>
      <c r="J346" s="2" t="n">
        <v>1</v>
      </c>
      <c r="K346" s="2" t="n">
        <v>9</v>
      </c>
      <c r="L346" s="2" t="n">
        <v>0</v>
      </c>
      <c r="M346" s="2" t="n">
        <v>0</v>
      </c>
    </row>
    <row r="347" customFormat="false" ht="15" hidden="false" customHeight="false" outlineLevel="0" collapsed="false">
      <c r="A347" s="2" t="s">
        <v>194</v>
      </c>
      <c r="B347" s="2" t="s">
        <v>64</v>
      </c>
      <c r="C347" s="2" t="s">
        <v>159</v>
      </c>
      <c r="D347" s="2" t="s">
        <v>160</v>
      </c>
      <c r="E347" s="2" t="s">
        <v>146</v>
      </c>
      <c r="F347" s="2" t="n">
        <v>30</v>
      </c>
      <c r="G347" s="2" t="n">
        <v>40</v>
      </c>
      <c r="H347" s="2" t="n">
        <f aca="false">ROUND(F347/G347*100,0)</f>
        <v>75</v>
      </c>
      <c r="I347" s="2" t="str">
        <f aca="false">IF(H347&gt;=workload_config!$B$2,"Overloaded",IF(H347&lt;workload_config!$B$3,"Underutilized","Optimal"))</f>
        <v>Optimal</v>
      </c>
      <c r="J347" s="2" t="n">
        <v>3</v>
      </c>
      <c r="K347" s="2" t="n">
        <v>30</v>
      </c>
      <c r="L347" s="2" t="n">
        <v>0</v>
      </c>
      <c r="M347" s="2" t="n">
        <v>0</v>
      </c>
    </row>
    <row r="348" customFormat="false" ht="15" hidden="false" customHeight="false" outlineLevel="0" collapsed="false">
      <c r="A348" s="2" t="s">
        <v>194</v>
      </c>
      <c r="B348" s="2" t="s">
        <v>64</v>
      </c>
      <c r="C348" s="2" t="s">
        <v>161</v>
      </c>
      <c r="D348" s="2" t="s">
        <v>162</v>
      </c>
      <c r="E348" s="2" t="s">
        <v>146</v>
      </c>
      <c r="F348" s="2" t="n">
        <v>25</v>
      </c>
      <c r="G348" s="2" t="n">
        <v>40</v>
      </c>
      <c r="H348" s="2" t="n">
        <f aca="false">ROUND(F348/G348*100,0)</f>
        <v>63</v>
      </c>
      <c r="I348" s="2" t="str">
        <f aca="false">IF(H348&gt;=workload_config!$B$2,"Overloaded",IF(H348&lt;workload_config!$B$3,"Underutilized","Optimal"))</f>
        <v>Optimal</v>
      </c>
      <c r="J348" s="2" t="n">
        <v>2</v>
      </c>
      <c r="K348" s="2" t="n">
        <v>25</v>
      </c>
      <c r="L348" s="2" t="n">
        <v>0</v>
      </c>
      <c r="M348" s="2" t="n">
        <v>0</v>
      </c>
    </row>
    <row r="349" customFormat="false" ht="15" hidden="false" customHeight="false" outlineLevel="0" collapsed="false">
      <c r="A349" s="2" t="s">
        <v>194</v>
      </c>
      <c r="B349" s="2" t="s">
        <v>64</v>
      </c>
      <c r="C349" s="2" t="s">
        <v>163</v>
      </c>
      <c r="D349" s="2" t="s">
        <v>164</v>
      </c>
      <c r="E349" s="2" t="s">
        <v>146</v>
      </c>
      <c r="F349" s="2" t="n">
        <v>32</v>
      </c>
      <c r="G349" s="2" t="n">
        <v>40</v>
      </c>
      <c r="H349" s="2" t="n">
        <f aca="false">ROUND(F349/G349*100,0)</f>
        <v>80</v>
      </c>
      <c r="I349" s="2" t="str">
        <f aca="false">IF(H349&gt;=workload_config!$B$2,"Overloaded",IF(H349&lt;workload_config!$B$3,"Underutilized","Optimal"))</f>
        <v>Optimal</v>
      </c>
      <c r="J349" s="2" t="n">
        <v>3</v>
      </c>
      <c r="K349" s="2" t="n">
        <v>32</v>
      </c>
      <c r="L349" s="2" t="n">
        <v>0</v>
      </c>
      <c r="M349" s="2" t="n">
        <v>0</v>
      </c>
    </row>
    <row r="350" customFormat="false" ht="15" hidden="false" customHeight="false" outlineLevel="0" collapsed="false">
      <c r="A350" s="2" t="s">
        <v>194</v>
      </c>
      <c r="B350" s="2" t="s">
        <v>64</v>
      </c>
      <c r="C350" s="2" t="s">
        <v>165</v>
      </c>
      <c r="D350" s="2" t="s">
        <v>166</v>
      </c>
      <c r="E350" s="2" t="s">
        <v>146</v>
      </c>
      <c r="F350" s="2" t="n">
        <v>21</v>
      </c>
      <c r="G350" s="2" t="n">
        <v>40</v>
      </c>
      <c r="H350" s="2" t="n">
        <f aca="false">ROUND(F350/G350*100,0)</f>
        <v>53</v>
      </c>
      <c r="I350" s="2" t="str">
        <f aca="false">IF(H350&gt;=workload_config!$B$2,"Overloaded",IF(H350&lt;workload_config!$B$3,"Underutilized","Optimal"))</f>
        <v>Optimal</v>
      </c>
      <c r="J350" s="2" t="n">
        <v>2</v>
      </c>
      <c r="K350" s="2" t="n">
        <v>21</v>
      </c>
      <c r="L350" s="2" t="n">
        <v>0</v>
      </c>
      <c r="M350" s="2" t="n">
        <v>0</v>
      </c>
    </row>
    <row r="351" customFormat="false" ht="15" hidden="false" customHeight="false" outlineLevel="0" collapsed="false">
      <c r="A351" s="2" t="s">
        <v>194</v>
      </c>
      <c r="B351" s="2" t="s">
        <v>64</v>
      </c>
      <c r="C351" s="2" t="s">
        <v>167</v>
      </c>
      <c r="D351" s="2" t="s">
        <v>168</v>
      </c>
      <c r="E351" s="2" t="s">
        <v>169</v>
      </c>
      <c r="F351" s="2" t="n">
        <v>35</v>
      </c>
      <c r="G351" s="2" t="n">
        <v>40</v>
      </c>
      <c r="H351" s="2" t="n">
        <f aca="false">ROUND(F351/G351*100,0)</f>
        <v>88</v>
      </c>
      <c r="I351" s="2" t="str">
        <f aca="false">IF(H351&gt;=workload_config!$B$2,"Overloaded",IF(H351&lt;workload_config!$B$3,"Underutilized","Optimal"))</f>
        <v>Overloaded</v>
      </c>
      <c r="J351" s="2" t="n">
        <v>4</v>
      </c>
      <c r="K351" s="2" t="n">
        <v>17</v>
      </c>
      <c r="L351" s="2" t="n">
        <v>18</v>
      </c>
      <c r="M351" s="2" t="n">
        <v>0</v>
      </c>
    </row>
    <row r="352" customFormat="false" ht="15" hidden="false" customHeight="false" outlineLevel="0" collapsed="false">
      <c r="A352" s="2" t="s">
        <v>194</v>
      </c>
      <c r="B352" s="2" t="s">
        <v>64</v>
      </c>
      <c r="C352" s="2" t="s">
        <v>170</v>
      </c>
      <c r="D352" s="2" t="s">
        <v>171</v>
      </c>
      <c r="E352" s="2" t="s">
        <v>169</v>
      </c>
      <c r="F352" s="2" t="n">
        <v>26</v>
      </c>
      <c r="G352" s="2" t="n">
        <v>40</v>
      </c>
      <c r="H352" s="2" t="n">
        <f aca="false">ROUND(F352/G352*100,0)</f>
        <v>65</v>
      </c>
      <c r="I352" s="2" t="str">
        <f aca="false">IF(H352&gt;=workload_config!$B$2,"Overloaded",IF(H352&lt;workload_config!$B$3,"Underutilized","Optimal"))</f>
        <v>Optimal</v>
      </c>
      <c r="J352" s="2" t="n">
        <v>3</v>
      </c>
      <c r="K352" s="2" t="n">
        <v>26</v>
      </c>
      <c r="L352" s="2" t="n">
        <v>0</v>
      </c>
      <c r="M352" s="2" t="n">
        <v>0</v>
      </c>
    </row>
    <row r="353" customFormat="false" ht="15" hidden="false" customHeight="false" outlineLevel="0" collapsed="false">
      <c r="A353" s="2" t="s">
        <v>194</v>
      </c>
      <c r="B353" s="2" t="s">
        <v>64</v>
      </c>
      <c r="C353" s="2" t="s">
        <v>172</v>
      </c>
      <c r="D353" s="2" t="s">
        <v>173</v>
      </c>
      <c r="E353" s="2" t="s">
        <v>169</v>
      </c>
      <c r="F353" s="2" t="n">
        <v>32</v>
      </c>
      <c r="G353" s="2" t="n">
        <v>40</v>
      </c>
      <c r="H353" s="2" t="n">
        <f aca="false">ROUND(F353/G353*100,0)</f>
        <v>80</v>
      </c>
      <c r="I353" s="2" t="str">
        <f aca="false">IF(H353&gt;=workload_config!$B$2,"Overloaded",IF(H353&lt;workload_config!$B$3,"Underutilized","Optimal"))</f>
        <v>Optimal</v>
      </c>
      <c r="J353" s="2" t="n">
        <v>3</v>
      </c>
      <c r="K353" s="2" t="n">
        <v>32</v>
      </c>
      <c r="L353" s="2" t="n">
        <v>0</v>
      </c>
      <c r="M353" s="2" t="n">
        <v>0</v>
      </c>
    </row>
    <row r="354" customFormat="false" ht="15" hidden="false" customHeight="false" outlineLevel="0" collapsed="false">
      <c r="A354" s="2" t="s">
        <v>194</v>
      </c>
      <c r="B354" s="2" t="s">
        <v>64</v>
      </c>
      <c r="C354" s="2" t="s">
        <v>174</v>
      </c>
      <c r="D354" s="2" t="s">
        <v>175</v>
      </c>
      <c r="E354" s="2" t="s">
        <v>169</v>
      </c>
      <c r="F354" s="2" t="n">
        <v>18</v>
      </c>
      <c r="G354" s="2" t="n">
        <v>40</v>
      </c>
      <c r="H354" s="2" t="n">
        <f aca="false">ROUND(F354/G354*100,0)</f>
        <v>45</v>
      </c>
      <c r="I354" s="2" t="str">
        <f aca="false">IF(H354&gt;=workload_config!$B$2,"Overloaded",IF(H354&lt;workload_config!$B$3,"Underutilized","Optimal"))</f>
        <v>Underutilized</v>
      </c>
      <c r="J354" s="2" t="n">
        <v>2</v>
      </c>
      <c r="K354" s="2" t="n">
        <v>7</v>
      </c>
      <c r="L354" s="2" t="n">
        <v>11</v>
      </c>
      <c r="M354" s="2" t="n">
        <v>0</v>
      </c>
    </row>
    <row r="355" customFormat="false" ht="15" hidden="false" customHeight="false" outlineLevel="0" collapsed="false">
      <c r="A355" s="2" t="s">
        <v>194</v>
      </c>
      <c r="B355" s="2" t="s">
        <v>64</v>
      </c>
      <c r="C355" s="2" t="s">
        <v>176</v>
      </c>
      <c r="D355" s="2" t="s">
        <v>177</v>
      </c>
      <c r="E355" s="2" t="s">
        <v>169</v>
      </c>
      <c r="F355" s="2" t="n">
        <v>27</v>
      </c>
      <c r="G355" s="2" t="n">
        <v>40</v>
      </c>
      <c r="H355" s="2" t="n">
        <f aca="false">ROUND(F355/G355*100,0)</f>
        <v>68</v>
      </c>
      <c r="I355" s="2" t="str">
        <f aca="false">IF(H355&gt;=workload_config!$B$2,"Overloaded",IF(H355&lt;workload_config!$B$3,"Underutilized","Optimal"))</f>
        <v>Optimal</v>
      </c>
      <c r="J355" s="2" t="n">
        <v>3</v>
      </c>
      <c r="K355" s="2" t="n">
        <v>27</v>
      </c>
      <c r="L355" s="2" t="n">
        <v>0</v>
      </c>
      <c r="M355" s="2" t="n">
        <v>0</v>
      </c>
    </row>
    <row r="356" customFormat="false" ht="15" hidden="false" customHeight="false" outlineLevel="0" collapsed="false">
      <c r="A356" s="2" t="s">
        <v>194</v>
      </c>
      <c r="B356" s="2" t="s">
        <v>64</v>
      </c>
      <c r="C356" s="2" t="s">
        <v>178</v>
      </c>
      <c r="D356" s="2" t="s">
        <v>179</v>
      </c>
      <c r="E356" s="2" t="s">
        <v>169</v>
      </c>
      <c r="F356" s="2" t="n">
        <v>10</v>
      </c>
      <c r="G356" s="2" t="n">
        <v>40</v>
      </c>
      <c r="H356" s="2" t="n">
        <f aca="false">ROUND(F356/G356*100,0)</f>
        <v>25</v>
      </c>
      <c r="I356" s="2" t="str">
        <f aca="false">IF(H356&gt;=workload_config!$B$2,"Overloaded",IF(H356&lt;workload_config!$B$3,"Underutilized","Optimal"))</f>
        <v>Underutilized</v>
      </c>
      <c r="J356" s="2" t="n">
        <v>1</v>
      </c>
      <c r="K356" s="2" t="n">
        <v>0</v>
      </c>
      <c r="L356" s="2" t="n">
        <v>10</v>
      </c>
      <c r="M356" s="2" t="n">
        <v>0</v>
      </c>
    </row>
    <row r="357" customFormat="false" ht="15" hidden="false" customHeight="false" outlineLevel="0" collapsed="false">
      <c r="A357" s="2" t="s">
        <v>194</v>
      </c>
      <c r="B357" s="2" t="s">
        <v>64</v>
      </c>
      <c r="C357" s="2" t="s">
        <v>180</v>
      </c>
      <c r="D357" s="2" t="s">
        <v>181</v>
      </c>
      <c r="E357" s="2" t="s">
        <v>169</v>
      </c>
      <c r="F357" s="2" t="n">
        <v>0</v>
      </c>
      <c r="G357" s="2" t="n">
        <v>32</v>
      </c>
      <c r="H357" s="2" t="n">
        <f aca="false">ROUND(F357/G357*100,0)</f>
        <v>0</v>
      </c>
      <c r="I357" s="2" t="str">
        <f aca="false">IF(H357&gt;=workload_config!$B$2,"Overloaded",IF(H357&lt;workload_config!$B$3,"Underutilized","Optimal"))</f>
        <v>Underutilized</v>
      </c>
      <c r="J357" s="2" t="n">
        <v>0</v>
      </c>
      <c r="K357" s="2" t="n">
        <v>0</v>
      </c>
      <c r="L357" s="2" t="n">
        <v>0</v>
      </c>
      <c r="M357" s="2" t="n">
        <v>0</v>
      </c>
    </row>
    <row r="358" customFormat="false" ht="15" hidden="false" customHeight="false" outlineLevel="0" collapsed="false">
      <c r="A358" s="2" t="s">
        <v>194</v>
      </c>
      <c r="B358" s="2" t="s">
        <v>64</v>
      </c>
      <c r="C358" s="2" t="s">
        <v>182</v>
      </c>
      <c r="D358" s="2" t="s">
        <v>183</v>
      </c>
      <c r="E358" s="2" t="s">
        <v>169</v>
      </c>
      <c r="F358" s="2" t="n">
        <v>9</v>
      </c>
      <c r="G358" s="2" t="n">
        <v>20</v>
      </c>
      <c r="H358" s="2" t="n">
        <f aca="false">ROUND(F358/G358*100,0)</f>
        <v>45</v>
      </c>
      <c r="I358" s="2" t="str">
        <f aca="false">IF(H358&gt;=workload_config!$B$2,"Overloaded",IF(H358&lt;workload_config!$B$3,"Underutilized","Optimal"))</f>
        <v>Underutilized</v>
      </c>
      <c r="J358" s="2" t="n">
        <v>1</v>
      </c>
      <c r="K358" s="2" t="n">
        <v>9</v>
      </c>
      <c r="L358" s="2" t="n">
        <v>0</v>
      </c>
      <c r="M358" s="2" t="n">
        <v>0</v>
      </c>
    </row>
    <row r="359" customFormat="false" ht="15" hidden="false" customHeight="false" outlineLevel="0" collapsed="false">
      <c r="A359" s="2" t="s">
        <v>194</v>
      </c>
      <c r="B359" s="2" t="s">
        <v>64</v>
      </c>
      <c r="C359" s="2" t="s">
        <v>184</v>
      </c>
      <c r="D359" s="2" t="s">
        <v>185</v>
      </c>
      <c r="E359" s="2" t="s">
        <v>169</v>
      </c>
      <c r="F359" s="2" t="n">
        <v>25</v>
      </c>
      <c r="G359" s="2" t="n">
        <v>32</v>
      </c>
      <c r="H359" s="2" t="n">
        <f aca="false">ROUND(F359/G359*100,0)</f>
        <v>78</v>
      </c>
      <c r="I359" s="2" t="str">
        <f aca="false">IF(H359&gt;=workload_config!$B$2,"Overloaded",IF(H359&lt;workload_config!$B$3,"Underutilized","Optimal"))</f>
        <v>Optimal</v>
      </c>
      <c r="J359" s="2" t="n">
        <v>2</v>
      </c>
      <c r="K359" s="2" t="n">
        <v>25</v>
      </c>
      <c r="L359" s="2" t="n">
        <v>0</v>
      </c>
      <c r="M359" s="2" t="n">
        <v>0</v>
      </c>
    </row>
    <row r="360" customFormat="false" ht="15" hidden="false" customHeight="false" outlineLevel="0" collapsed="false">
      <c r="A360" s="2" t="s">
        <v>194</v>
      </c>
      <c r="B360" s="2" t="s">
        <v>64</v>
      </c>
      <c r="C360" s="2" t="s">
        <v>186</v>
      </c>
      <c r="D360" s="2" t="s">
        <v>187</v>
      </c>
      <c r="E360" s="2" t="s">
        <v>169</v>
      </c>
      <c r="F360" s="2" t="n">
        <v>9</v>
      </c>
      <c r="G360" s="2" t="n">
        <v>40</v>
      </c>
      <c r="H360" s="2" t="n">
        <f aca="false">ROUND(F360/G360*100,0)</f>
        <v>23</v>
      </c>
      <c r="I360" s="2" t="str">
        <f aca="false">IF(H360&gt;=workload_config!$B$2,"Overloaded",IF(H360&lt;workload_config!$B$3,"Underutilized","Optimal"))</f>
        <v>Underutilized</v>
      </c>
      <c r="J360" s="2" t="n">
        <v>1</v>
      </c>
      <c r="K360" s="2" t="n">
        <v>9</v>
      </c>
      <c r="L360" s="2" t="n">
        <v>0</v>
      </c>
      <c r="M360" s="2" t="n">
        <v>0</v>
      </c>
    </row>
    <row r="361" customFormat="false" ht="15" hidden="false" customHeight="false" outlineLevel="0" collapsed="false">
      <c r="A361" s="2" t="s">
        <v>194</v>
      </c>
      <c r="B361" s="2" t="s">
        <v>64</v>
      </c>
      <c r="C361" s="2" t="s">
        <v>188</v>
      </c>
      <c r="D361" s="2" t="s">
        <v>189</v>
      </c>
      <c r="E361" s="2" t="s">
        <v>169</v>
      </c>
      <c r="F361" s="2" t="n">
        <v>25</v>
      </c>
      <c r="G361" s="2" t="n">
        <v>40</v>
      </c>
      <c r="H361" s="2" t="n">
        <f aca="false">ROUND(F361/G361*100,0)</f>
        <v>63</v>
      </c>
      <c r="I361" s="2" t="str">
        <f aca="false">IF(H361&gt;=workload_config!$B$2,"Overloaded",IF(H361&lt;workload_config!$B$3,"Underutilized","Optimal"))</f>
        <v>Optimal</v>
      </c>
      <c r="J361" s="2" t="n">
        <v>2</v>
      </c>
      <c r="K361" s="2" t="n">
        <v>12</v>
      </c>
      <c r="L361" s="2" t="n">
        <v>13</v>
      </c>
      <c r="M361" s="2" t="n">
        <v>0</v>
      </c>
    </row>
    <row r="362" customFormat="false" ht="15" hidden="false" customHeight="false" outlineLevel="0" collapsed="false">
      <c r="A362" s="2" t="s">
        <v>195</v>
      </c>
      <c r="B362" s="2" t="s">
        <v>64</v>
      </c>
      <c r="C362" s="2" t="s">
        <v>65</v>
      </c>
      <c r="D362" s="2" t="s">
        <v>66</v>
      </c>
      <c r="E362" s="2" t="s">
        <v>67</v>
      </c>
      <c r="F362" s="2" t="n">
        <v>47</v>
      </c>
      <c r="G362" s="2" t="n">
        <v>40</v>
      </c>
      <c r="H362" s="2" t="n">
        <f aca="false">ROUND(F362/G362*100,0)</f>
        <v>118</v>
      </c>
      <c r="I362" s="2" t="str">
        <f aca="false">IF(H362&gt;=workload_config!$B$2,"Overloaded",IF(H362&lt;workload_config!$B$3,"Underutilized","Optimal"))</f>
        <v>Overloaded</v>
      </c>
      <c r="J362" s="2" t="n">
        <v>5</v>
      </c>
      <c r="K362" s="2" t="n">
        <v>27</v>
      </c>
      <c r="L362" s="2" t="n">
        <v>20</v>
      </c>
      <c r="M362" s="2" t="n">
        <v>9</v>
      </c>
    </row>
    <row r="363" customFormat="false" ht="15" hidden="false" customHeight="false" outlineLevel="0" collapsed="false">
      <c r="A363" s="2" t="s">
        <v>195</v>
      </c>
      <c r="B363" s="2" t="s">
        <v>64</v>
      </c>
      <c r="C363" s="2" t="s">
        <v>68</v>
      </c>
      <c r="D363" s="2" t="s">
        <v>69</v>
      </c>
      <c r="E363" s="2" t="s">
        <v>67</v>
      </c>
      <c r="F363" s="2" t="n">
        <v>16</v>
      </c>
      <c r="G363" s="2" t="n">
        <v>40</v>
      </c>
      <c r="H363" s="2" t="n">
        <f aca="false">ROUND(F363/G363*100,0)</f>
        <v>40</v>
      </c>
      <c r="I363" s="2" t="str">
        <f aca="false">IF(H363&gt;=workload_config!$B$2,"Overloaded",IF(H363&lt;workload_config!$B$3,"Underutilized","Optimal"))</f>
        <v>Underutilized</v>
      </c>
      <c r="J363" s="2" t="n">
        <v>2</v>
      </c>
      <c r="K363" s="2" t="n">
        <v>16</v>
      </c>
      <c r="L363" s="2" t="n">
        <v>0</v>
      </c>
      <c r="M363" s="2" t="n">
        <v>0</v>
      </c>
    </row>
    <row r="364" customFormat="false" ht="15" hidden="false" customHeight="false" outlineLevel="0" collapsed="false">
      <c r="A364" s="2" t="s">
        <v>195</v>
      </c>
      <c r="B364" s="2" t="s">
        <v>64</v>
      </c>
      <c r="C364" s="2" t="s">
        <v>70</v>
      </c>
      <c r="D364" s="2" t="s">
        <v>71</v>
      </c>
      <c r="E364" s="2" t="s">
        <v>67</v>
      </c>
      <c r="F364" s="2" t="n">
        <v>45</v>
      </c>
      <c r="G364" s="2" t="n">
        <v>40</v>
      </c>
      <c r="H364" s="2" t="n">
        <f aca="false">ROUND(F364/G364*100,0)</f>
        <v>113</v>
      </c>
      <c r="I364" s="2" t="str">
        <f aca="false">IF(H364&gt;=workload_config!$B$2,"Overloaded",IF(H364&lt;workload_config!$B$3,"Underutilized","Optimal"))</f>
        <v>Overloaded</v>
      </c>
      <c r="J364" s="2" t="n">
        <v>4</v>
      </c>
      <c r="K364" s="2" t="n">
        <v>26</v>
      </c>
      <c r="L364" s="2" t="n">
        <v>19</v>
      </c>
      <c r="M364" s="2" t="n">
        <v>5</v>
      </c>
    </row>
    <row r="365" customFormat="false" ht="15" hidden="false" customHeight="false" outlineLevel="0" collapsed="false">
      <c r="A365" s="2" t="s">
        <v>195</v>
      </c>
      <c r="B365" s="2" t="s">
        <v>64</v>
      </c>
      <c r="C365" s="2" t="s">
        <v>72</v>
      </c>
      <c r="D365" s="2" t="s">
        <v>73</v>
      </c>
      <c r="E365" s="2" t="s">
        <v>67</v>
      </c>
      <c r="F365" s="2" t="n">
        <v>38</v>
      </c>
      <c r="G365" s="2" t="n">
        <v>40</v>
      </c>
      <c r="H365" s="2" t="n">
        <f aca="false">ROUND(F365/G365*100,0)</f>
        <v>95</v>
      </c>
      <c r="I365" s="2" t="str">
        <f aca="false">IF(H365&gt;=workload_config!$B$2,"Overloaded",IF(H365&lt;workload_config!$B$3,"Underutilized","Optimal"))</f>
        <v>Overloaded</v>
      </c>
      <c r="J365" s="2" t="n">
        <v>4</v>
      </c>
      <c r="K365" s="2" t="n">
        <v>38</v>
      </c>
      <c r="L365" s="2" t="n">
        <v>0</v>
      </c>
      <c r="M365" s="2" t="n">
        <v>1</v>
      </c>
    </row>
    <row r="366" customFormat="false" ht="15" hidden="false" customHeight="false" outlineLevel="0" collapsed="false">
      <c r="A366" s="2" t="s">
        <v>195</v>
      </c>
      <c r="B366" s="2" t="s">
        <v>64</v>
      </c>
      <c r="C366" s="2" t="s">
        <v>74</v>
      </c>
      <c r="D366" s="2" t="s">
        <v>75</v>
      </c>
      <c r="E366" s="2" t="s">
        <v>67</v>
      </c>
      <c r="F366" s="2" t="n">
        <v>27</v>
      </c>
      <c r="G366" s="2" t="n">
        <v>40</v>
      </c>
      <c r="H366" s="2" t="n">
        <f aca="false">ROUND(F366/G366*100,0)</f>
        <v>68</v>
      </c>
      <c r="I366" s="2" t="str">
        <f aca="false">IF(H366&gt;=workload_config!$B$2,"Overloaded",IF(H366&lt;workload_config!$B$3,"Underutilized","Optimal"))</f>
        <v>Optimal</v>
      </c>
      <c r="J366" s="2" t="n">
        <v>3</v>
      </c>
      <c r="K366" s="2" t="n">
        <v>27</v>
      </c>
      <c r="L366" s="2" t="n">
        <v>0</v>
      </c>
      <c r="M366" s="2" t="n">
        <v>0</v>
      </c>
    </row>
    <row r="367" customFormat="false" ht="15" hidden="false" customHeight="false" outlineLevel="0" collapsed="false">
      <c r="A367" s="2" t="s">
        <v>195</v>
      </c>
      <c r="B367" s="2" t="s">
        <v>64</v>
      </c>
      <c r="C367" s="2" t="s">
        <v>76</v>
      </c>
      <c r="D367" s="2" t="s">
        <v>77</v>
      </c>
      <c r="E367" s="2" t="s">
        <v>67</v>
      </c>
      <c r="F367" s="2" t="n">
        <v>34</v>
      </c>
      <c r="G367" s="2" t="n">
        <v>40</v>
      </c>
      <c r="H367" s="2" t="n">
        <f aca="false">ROUND(F367/G367*100,0)</f>
        <v>85</v>
      </c>
      <c r="I367" s="2" t="str">
        <f aca="false">IF(H367&gt;=workload_config!$B$2,"Overloaded",IF(H367&lt;workload_config!$B$3,"Underutilized","Optimal"))</f>
        <v>Optimal</v>
      </c>
      <c r="J367" s="2" t="n">
        <v>3</v>
      </c>
      <c r="K367" s="2" t="n">
        <v>34</v>
      </c>
      <c r="L367" s="2" t="n">
        <v>0</v>
      </c>
      <c r="M367" s="2" t="n">
        <v>0</v>
      </c>
    </row>
    <row r="368" customFormat="false" ht="15" hidden="false" customHeight="false" outlineLevel="0" collapsed="false">
      <c r="A368" s="2" t="s">
        <v>195</v>
      </c>
      <c r="B368" s="2" t="s">
        <v>64</v>
      </c>
      <c r="C368" s="2" t="s">
        <v>78</v>
      </c>
      <c r="D368" s="2" t="s">
        <v>79</v>
      </c>
      <c r="E368" s="2" t="s">
        <v>67</v>
      </c>
      <c r="F368" s="2" t="n">
        <v>33</v>
      </c>
      <c r="G368" s="2" t="n">
        <v>40</v>
      </c>
      <c r="H368" s="2" t="n">
        <f aca="false">ROUND(F368/G368*100,0)</f>
        <v>83</v>
      </c>
      <c r="I368" s="2" t="str">
        <f aca="false">IF(H368&gt;=workload_config!$B$2,"Overloaded",IF(H368&lt;workload_config!$B$3,"Underutilized","Optimal"))</f>
        <v>Optimal</v>
      </c>
      <c r="J368" s="2" t="n">
        <v>3</v>
      </c>
      <c r="K368" s="2" t="n">
        <v>33</v>
      </c>
      <c r="L368" s="2" t="n">
        <v>0</v>
      </c>
      <c r="M368" s="2" t="n">
        <v>0</v>
      </c>
    </row>
    <row r="369" customFormat="false" ht="15" hidden="false" customHeight="false" outlineLevel="0" collapsed="false">
      <c r="A369" s="2" t="s">
        <v>195</v>
      </c>
      <c r="B369" s="2" t="s">
        <v>64</v>
      </c>
      <c r="C369" s="2" t="s">
        <v>80</v>
      </c>
      <c r="D369" s="2" t="s">
        <v>81</v>
      </c>
      <c r="E369" s="2" t="s">
        <v>67</v>
      </c>
      <c r="F369" s="2" t="n">
        <v>29</v>
      </c>
      <c r="G369" s="2" t="n">
        <v>40</v>
      </c>
      <c r="H369" s="2" t="n">
        <f aca="false">ROUND(F369/G369*100,0)</f>
        <v>73</v>
      </c>
      <c r="I369" s="2" t="str">
        <f aca="false">IF(H369&gt;=workload_config!$B$2,"Overloaded",IF(H369&lt;workload_config!$B$3,"Underutilized","Optimal"))</f>
        <v>Optimal</v>
      </c>
      <c r="J369" s="2" t="n">
        <v>3</v>
      </c>
      <c r="K369" s="2" t="n">
        <v>8</v>
      </c>
      <c r="L369" s="2" t="n">
        <v>21</v>
      </c>
      <c r="M369" s="2" t="n">
        <v>0</v>
      </c>
    </row>
    <row r="370" customFormat="false" ht="15" hidden="false" customHeight="false" outlineLevel="0" collapsed="false">
      <c r="A370" s="2" t="s">
        <v>195</v>
      </c>
      <c r="B370" s="2" t="s">
        <v>64</v>
      </c>
      <c r="C370" s="2" t="s">
        <v>82</v>
      </c>
      <c r="D370" s="2" t="s">
        <v>83</v>
      </c>
      <c r="E370" s="2" t="s">
        <v>67</v>
      </c>
      <c r="F370" s="2" t="n">
        <v>30</v>
      </c>
      <c r="G370" s="2" t="n">
        <v>40</v>
      </c>
      <c r="H370" s="2" t="n">
        <f aca="false">ROUND(F370/G370*100,0)</f>
        <v>75</v>
      </c>
      <c r="I370" s="2" t="str">
        <f aca="false">IF(H370&gt;=workload_config!$B$2,"Overloaded",IF(H370&lt;workload_config!$B$3,"Underutilized","Optimal"))</f>
        <v>Optimal</v>
      </c>
      <c r="J370" s="2" t="n">
        <v>3</v>
      </c>
      <c r="K370" s="2" t="n">
        <v>9</v>
      </c>
      <c r="L370" s="2" t="n">
        <v>21</v>
      </c>
      <c r="M370" s="2" t="n">
        <v>0</v>
      </c>
    </row>
    <row r="371" customFormat="false" ht="15" hidden="false" customHeight="false" outlineLevel="0" collapsed="false">
      <c r="A371" s="2" t="s">
        <v>195</v>
      </c>
      <c r="B371" s="2" t="s">
        <v>64</v>
      </c>
      <c r="C371" s="2" t="s">
        <v>84</v>
      </c>
      <c r="D371" s="2" t="s">
        <v>85</v>
      </c>
      <c r="E371" s="2" t="s">
        <v>67</v>
      </c>
      <c r="F371" s="2" t="n">
        <v>33</v>
      </c>
      <c r="G371" s="2" t="n">
        <v>40</v>
      </c>
      <c r="H371" s="2" t="n">
        <f aca="false">ROUND(F371/G371*100,0)</f>
        <v>83</v>
      </c>
      <c r="I371" s="2" t="str">
        <f aca="false">IF(H371&gt;=workload_config!$B$2,"Overloaded",IF(H371&lt;workload_config!$B$3,"Underutilized","Optimal"))</f>
        <v>Optimal</v>
      </c>
      <c r="J371" s="2" t="n">
        <v>3</v>
      </c>
      <c r="K371" s="2" t="n">
        <v>11</v>
      </c>
      <c r="L371" s="2" t="n">
        <v>22</v>
      </c>
      <c r="M371" s="2" t="n">
        <v>0</v>
      </c>
    </row>
    <row r="372" customFormat="false" ht="15" hidden="false" customHeight="false" outlineLevel="0" collapsed="false">
      <c r="A372" s="2" t="s">
        <v>195</v>
      </c>
      <c r="B372" s="2" t="s">
        <v>64</v>
      </c>
      <c r="C372" s="2" t="s">
        <v>86</v>
      </c>
      <c r="D372" s="2" t="s">
        <v>87</v>
      </c>
      <c r="E372" s="2" t="s">
        <v>67</v>
      </c>
      <c r="F372" s="2" t="n">
        <v>30</v>
      </c>
      <c r="G372" s="2" t="n">
        <v>40</v>
      </c>
      <c r="H372" s="2" t="n">
        <f aca="false">ROUND(F372/G372*100,0)</f>
        <v>75</v>
      </c>
      <c r="I372" s="2" t="str">
        <f aca="false">IF(H372&gt;=workload_config!$B$2,"Overloaded",IF(H372&lt;workload_config!$B$3,"Underutilized","Optimal"))</f>
        <v>Optimal</v>
      </c>
      <c r="J372" s="2" t="n">
        <v>3</v>
      </c>
      <c r="K372" s="2" t="n">
        <v>30</v>
      </c>
      <c r="L372" s="2" t="n">
        <v>0</v>
      </c>
      <c r="M372" s="2" t="n">
        <v>0</v>
      </c>
    </row>
    <row r="373" customFormat="false" ht="15" hidden="false" customHeight="false" outlineLevel="0" collapsed="false">
      <c r="A373" s="2" t="s">
        <v>195</v>
      </c>
      <c r="B373" s="2" t="s">
        <v>64</v>
      </c>
      <c r="C373" s="2" t="s">
        <v>88</v>
      </c>
      <c r="D373" s="2" t="s">
        <v>89</v>
      </c>
      <c r="E373" s="2" t="s">
        <v>67</v>
      </c>
      <c r="F373" s="2" t="n">
        <v>26</v>
      </c>
      <c r="G373" s="2" t="n">
        <v>40</v>
      </c>
      <c r="H373" s="2" t="n">
        <f aca="false">ROUND(F373/G373*100,0)</f>
        <v>65</v>
      </c>
      <c r="I373" s="2" t="str">
        <f aca="false">IF(H373&gt;=workload_config!$B$2,"Overloaded",IF(H373&lt;workload_config!$B$3,"Underutilized","Optimal"))</f>
        <v>Optimal</v>
      </c>
      <c r="J373" s="2" t="n">
        <v>3</v>
      </c>
      <c r="K373" s="2" t="n">
        <v>26</v>
      </c>
      <c r="L373" s="2" t="n">
        <v>0</v>
      </c>
      <c r="M373" s="2" t="n">
        <v>0</v>
      </c>
    </row>
    <row r="374" customFormat="false" ht="15" hidden="false" customHeight="false" outlineLevel="0" collapsed="false">
      <c r="A374" s="2" t="s">
        <v>195</v>
      </c>
      <c r="B374" s="2" t="s">
        <v>64</v>
      </c>
      <c r="C374" s="2" t="s">
        <v>90</v>
      </c>
      <c r="D374" s="2" t="s">
        <v>91</v>
      </c>
      <c r="E374" s="2" t="s">
        <v>67</v>
      </c>
      <c r="F374" s="2" t="n">
        <v>29</v>
      </c>
      <c r="G374" s="2" t="n">
        <v>40</v>
      </c>
      <c r="H374" s="2" t="n">
        <f aca="false">ROUND(F374/G374*100,0)</f>
        <v>73</v>
      </c>
      <c r="I374" s="2" t="str">
        <f aca="false">IF(H374&gt;=workload_config!$B$2,"Overloaded",IF(H374&lt;workload_config!$B$3,"Underutilized","Optimal"))</f>
        <v>Optimal</v>
      </c>
      <c r="J374" s="2" t="n">
        <v>3</v>
      </c>
      <c r="K374" s="2" t="n">
        <v>29</v>
      </c>
      <c r="L374" s="2" t="n">
        <v>0</v>
      </c>
      <c r="M374" s="2" t="n">
        <v>0</v>
      </c>
    </row>
    <row r="375" customFormat="false" ht="15" hidden="false" customHeight="false" outlineLevel="0" collapsed="false">
      <c r="A375" s="2" t="s">
        <v>195</v>
      </c>
      <c r="B375" s="2" t="s">
        <v>64</v>
      </c>
      <c r="C375" s="2" t="s">
        <v>92</v>
      </c>
      <c r="D375" s="2" t="s">
        <v>93</v>
      </c>
      <c r="E375" s="2" t="s">
        <v>67</v>
      </c>
      <c r="F375" s="2" t="n">
        <v>31</v>
      </c>
      <c r="G375" s="2" t="n">
        <v>40</v>
      </c>
      <c r="H375" s="2" t="n">
        <f aca="false">ROUND(F375/G375*100,0)</f>
        <v>78</v>
      </c>
      <c r="I375" s="2" t="str">
        <f aca="false">IF(H375&gt;=workload_config!$B$2,"Overloaded",IF(H375&lt;workload_config!$B$3,"Underutilized","Optimal"))</f>
        <v>Optimal</v>
      </c>
      <c r="J375" s="2" t="n">
        <v>3</v>
      </c>
      <c r="K375" s="2" t="n">
        <v>19</v>
      </c>
      <c r="L375" s="2" t="n">
        <v>12</v>
      </c>
      <c r="M375" s="2" t="n">
        <v>0</v>
      </c>
    </row>
    <row r="376" customFormat="false" ht="15" hidden="false" customHeight="false" outlineLevel="0" collapsed="false">
      <c r="A376" s="2" t="s">
        <v>195</v>
      </c>
      <c r="B376" s="2" t="s">
        <v>64</v>
      </c>
      <c r="C376" s="2" t="s">
        <v>94</v>
      </c>
      <c r="D376" s="2" t="s">
        <v>95</v>
      </c>
      <c r="E376" s="2" t="s">
        <v>96</v>
      </c>
      <c r="F376" s="2" t="n">
        <v>15</v>
      </c>
      <c r="G376" s="2" t="n">
        <v>40</v>
      </c>
      <c r="H376" s="2" t="n">
        <f aca="false">ROUND(F376/G376*100,0)</f>
        <v>38</v>
      </c>
      <c r="I376" s="2" t="str">
        <f aca="false">IF(H376&gt;=workload_config!$B$2,"Overloaded",IF(H376&lt;workload_config!$B$3,"Underutilized","Optimal"))</f>
        <v>Underutilized</v>
      </c>
      <c r="J376" s="2" t="n">
        <v>2</v>
      </c>
      <c r="K376" s="2" t="n">
        <v>15</v>
      </c>
      <c r="L376" s="2" t="n">
        <v>0</v>
      </c>
      <c r="M376" s="2" t="n">
        <v>0</v>
      </c>
    </row>
    <row r="377" customFormat="false" ht="15" hidden="false" customHeight="false" outlineLevel="0" collapsed="false">
      <c r="A377" s="2" t="s">
        <v>195</v>
      </c>
      <c r="B377" s="2" t="s">
        <v>64</v>
      </c>
      <c r="C377" s="2" t="s">
        <v>97</v>
      </c>
      <c r="D377" s="2" t="s">
        <v>98</v>
      </c>
      <c r="E377" s="2" t="s">
        <v>96</v>
      </c>
      <c r="F377" s="2" t="n">
        <v>20</v>
      </c>
      <c r="G377" s="2" t="n">
        <v>40</v>
      </c>
      <c r="H377" s="2" t="n">
        <f aca="false">ROUND(F377/G377*100,0)</f>
        <v>50</v>
      </c>
      <c r="I377" s="2" t="str">
        <f aca="false">IF(H377&gt;=workload_config!$B$2,"Overloaded",IF(H377&lt;workload_config!$B$3,"Underutilized","Optimal"))</f>
        <v>Optimal</v>
      </c>
      <c r="J377" s="2" t="n">
        <v>2</v>
      </c>
      <c r="K377" s="2" t="n">
        <v>20</v>
      </c>
      <c r="L377" s="2" t="n">
        <v>0</v>
      </c>
      <c r="M377" s="2" t="n">
        <v>0</v>
      </c>
    </row>
    <row r="378" customFormat="false" ht="15" hidden="false" customHeight="false" outlineLevel="0" collapsed="false">
      <c r="A378" s="2" t="s">
        <v>195</v>
      </c>
      <c r="B378" s="2" t="s">
        <v>64</v>
      </c>
      <c r="C378" s="2" t="s">
        <v>99</v>
      </c>
      <c r="D378" s="2" t="s">
        <v>100</v>
      </c>
      <c r="E378" s="2" t="s">
        <v>96</v>
      </c>
      <c r="F378" s="2" t="n">
        <v>12</v>
      </c>
      <c r="G378" s="2" t="n">
        <v>40</v>
      </c>
      <c r="H378" s="2" t="n">
        <f aca="false">ROUND(F378/G378*100,0)</f>
        <v>30</v>
      </c>
      <c r="I378" s="2" t="str">
        <f aca="false">IF(H378&gt;=workload_config!$B$2,"Overloaded",IF(H378&lt;workload_config!$B$3,"Underutilized","Optimal"))</f>
        <v>Underutilized</v>
      </c>
      <c r="J378" s="2" t="n">
        <v>1</v>
      </c>
      <c r="K378" s="2" t="n">
        <v>12</v>
      </c>
      <c r="L378" s="2" t="n">
        <v>0</v>
      </c>
      <c r="M378" s="2" t="n">
        <v>0</v>
      </c>
    </row>
    <row r="379" customFormat="false" ht="15" hidden="false" customHeight="false" outlineLevel="0" collapsed="false">
      <c r="A379" s="2" t="s">
        <v>195</v>
      </c>
      <c r="B379" s="2" t="s">
        <v>64</v>
      </c>
      <c r="C379" s="2" t="s">
        <v>101</v>
      </c>
      <c r="D379" s="2" t="s">
        <v>102</v>
      </c>
      <c r="E379" s="2" t="s">
        <v>96</v>
      </c>
      <c r="F379" s="2" t="n">
        <v>29</v>
      </c>
      <c r="G379" s="2" t="n">
        <v>40</v>
      </c>
      <c r="H379" s="2" t="n">
        <f aca="false">ROUND(F379/G379*100,0)</f>
        <v>73</v>
      </c>
      <c r="I379" s="2" t="str">
        <f aca="false">IF(H379&gt;=workload_config!$B$2,"Overloaded",IF(H379&lt;workload_config!$B$3,"Underutilized","Optimal"))</f>
        <v>Optimal</v>
      </c>
      <c r="J379" s="2" t="n">
        <v>3</v>
      </c>
      <c r="K379" s="2" t="n">
        <v>29</v>
      </c>
      <c r="L379" s="2" t="n">
        <v>0</v>
      </c>
      <c r="M379" s="2" t="n">
        <v>0</v>
      </c>
    </row>
    <row r="380" customFormat="false" ht="15" hidden="false" customHeight="false" outlineLevel="0" collapsed="false">
      <c r="A380" s="2" t="s">
        <v>195</v>
      </c>
      <c r="B380" s="2" t="s">
        <v>64</v>
      </c>
      <c r="C380" s="2" t="s">
        <v>103</v>
      </c>
      <c r="D380" s="2" t="s">
        <v>104</v>
      </c>
      <c r="E380" s="2" t="s">
        <v>96</v>
      </c>
      <c r="F380" s="2" t="n">
        <v>36</v>
      </c>
      <c r="G380" s="2" t="n">
        <v>40</v>
      </c>
      <c r="H380" s="2" t="n">
        <f aca="false">ROUND(F380/G380*100,0)</f>
        <v>90</v>
      </c>
      <c r="I380" s="2" t="str">
        <f aca="false">IF(H380&gt;=workload_config!$B$2,"Overloaded",IF(H380&lt;workload_config!$B$3,"Underutilized","Optimal"))</f>
        <v>Overloaded</v>
      </c>
      <c r="J380" s="2" t="n">
        <v>4</v>
      </c>
      <c r="K380" s="2" t="n">
        <v>18</v>
      </c>
      <c r="L380" s="2" t="n">
        <v>18</v>
      </c>
      <c r="M380" s="2" t="n">
        <v>3</v>
      </c>
    </row>
    <row r="381" customFormat="false" ht="15" hidden="false" customHeight="false" outlineLevel="0" collapsed="false">
      <c r="A381" s="2" t="s">
        <v>195</v>
      </c>
      <c r="B381" s="2" t="s">
        <v>64</v>
      </c>
      <c r="C381" s="2" t="s">
        <v>105</v>
      </c>
      <c r="D381" s="2" t="s">
        <v>106</v>
      </c>
      <c r="E381" s="2" t="s">
        <v>96</v>
      </c>
      <c r="F381" s="2" t="n">
        <v>31</v>
      </c>
      <c r="G381" s="2" t="n">
        <v>40</v>
      </c>
      <c r="H381" s="2" t="n">
        <f aca="false">ROUND(F381/G381*100,0)</f>
        <v>78</v>
      </c>
      <c r="I381" s="2" t="str">
        <f aca="false">IF(H381&gt;=workload_config!$B$2,"Overloaded",IF(H381&lt;workload_config!$B$3,"Underutilized","Optimal"))</f>
        <v>Optimal</v>
      </c>
      <c r="J381" s="2" t="n">
        <v>3</v>
      </c>
      <c r="K381" s="2" t="n">
        <v>31</v>
      </c>
      <c r="L381" s="2" t="n">
        <v>0</v>
      </c>
      <c r="M381" s="2" t="n">
        <v>0</v>
      </c>
    </row>
    <row r="382" customFormat="false" ht="15" hidden="false" customHeight="false" outlineLevel="0" collapsed="false">
      <c r="A382" s="2" t="s">
        <v>195</v>
      </c>
      <c r="B382" s="2" t="s">
        <v>64</v>
      </c>
      <c r="C382" s="2" t="s">
        <v>107</v>
      </c>
      <c r="D382" s="2" t="s">
        <v>108</v>
      </c>
      <c r="E382" s="2" t="s">
        <v>96</v>
      </c>
      <c r="F382" s="2" t="n">
        <v>31</v>
      </c>
      <c r="G382" s="2" t="n">
        <v>40</v>
      </c>
      <c r="H382" s="2" t="n">
        <f aca="false">ROUND(F382/G382*100,0)</f>
        <v>78</v>
      </c>
      <c r="I382" s="2" t="str">
        <f aca="false">IF(H382&gt;=workload_config!$B$2,"Overloaded",IF(H382&lt;workload_config!$B$3,"Underutilized","Optimal"))</f>
        <v>Optimal</v>
      </c>
      <c r="J382" s="2" t="n">
        <v>3</v>
      </c>
      <c r="K382" s="2" t="n">
        <v>31</v>
      </c>
      <c r="L382" s="2" t="n">
        <v>0</v>
      </c>
      <c r="M382" s="2" t="n">
        <v>0</v>
      </c>
    </row>
    <row r="383" customFormat="false" ht="15" hidden="false" customHeight="false" outlineLevel="0" collapsed="false">
      <c r="A383" s="2" t="s">
        <v>195</v>
      </c>
      <c r="B383" s="2" t="s">
        <v>64</v>
      </c>
      <c r="C383" s="2" t="s">
        <v>109</v>
      </c>
      <c r="D383" s="2" t="s">
        <v>110</v>
      </c>
      <c r="E383" s="2" t="s">
        <v>96</v>
      </c>
      <c r="F383" s="2" t="n">
        <v>38</v>
      </c>
      <c r="G383" s="2" t="n">
        <v>40</v>
      </c>
      <c r="H383" s="2" t="n">
        <f aca="false">ROUND(F383/G383*100,0)</f>
        <v>95</v>
      </c>
      <c r="I383" s="2" t="str">
        <f aca="false">IF(H383&gt;=workload_config!$B$2,"Overloaded",IF(H383&lt;workload_config!$B$3,"Underutilized","Optimal"))</f>
        <v>Overloaded</v>
      </c>
      <c r="J383" s="2" t="n">
        <v>4</v>
      </c>
      <c r="K383" s="2" t="n">
        <v>38</v>
      </c>
      <c r="L383" s="2" t="n">
        <v>0</v>
      </c>
      <c r="M383" s="2" t="n">
        <v>2</v>
      </c>
    </row>
    <row r="384" customFormat="false" ht="15" hidden="false" customHeight="false" outlineLevel="0" collapsed="false">
      <c r="A384" s="2" t="s">
        <v>195</v>
      </c>
      <c r="B384" s="2" t="s">
        <v>64</v>
      </c>
      <c r="C384" s="2" t="s">
        <v>111</v>
      </c>
      <c r="D384" s="2" t="s">
        <v>112</v>
      </c>
      <c r="E384" s="2" t="s">
        <v>96</v>
      </c>
      <c r="F384" s="2" t="n">
        <v>32</v>
      </c>
      <c r="G384" s="2" t="n">
        <v>40</v>
      </c>
      <c r="H384" s="2" t="n">
        <f aca="false">ROUND(F384/G384*100,0)</f>
        <v>80</v>
      </c>
      <c r="I384" s="2" t="str">
        <f aca="false">IF(H384&gt;=workload_config!$B$2,"Overloaded",IF(H384&lt;workload_config!$B$3,"Underutilized","Optimal"))</f>
        <v>Optimal</v>
      </c>
      <c r="J384" s="2" t="n">
        <v>3</v>
      </c>
      <c r="K384" s="2" t="n">
        <v>32</v>
      </c>
      <c r="L384" s="2" t="n">
        <v>0</v>
      </c>
      <c r="M384" s="2" t="n">
        <v>0</v>
      </c>
    </row>
    <row r="385" customFormat="false" ht="15" hidden="false" customHeight="false" outlineLevel="0" collapsed="false">
      <c r="A385" s="2" t="s">
        <v>195</v>
      </c>
      <c r="B385" s="2" t="s">
        <v>64</v>
      </c>
      <c r="C385" s="2" t="s">
        <v>113</v>
      </c>
      <c r="D385" s="2" t="s">
        <v>114</v>
      </c>
      <c r="E385" s="2" t="s">
        <v>96</v>
      </c>
      <c r="F385" s="2" t="n">
        <v>29</v>
      </c>
      <c r="G385" s="2" t="n">
        <v>40</v>
      </c>
      <c r="H385" s="2" t="n">
        <f aca="false">ROUND(F385/G385*100,0)</f>
        <v>73</v>
      </c>
      <c r="I385" s="2" t="str">
        <f aca="false">IF(H385&gt;=workload_config!$B$2,"Overloaded",IF(H385&lt;workload_config!$B$3,"Underutilized","Optimal"))</f>
        <v>Optimal</v>
      </c>
      <c r="J385" s="2" t="n">
        <v>3</v>
      </c>
      <c r="K385" s="2" t="n">
        <v>18</v>
      </c>
      <c r="L385" s="2" t="n">
        <v>11</v>
      </c>
      <c r="M385" s="2" t="n">
        <v>0</v>
      </c>
    </row>
    <row r="386" customFormat="false" ht="15" hidden="false" customHeight="false" outlineLevel="0" collapsed="false">
      <c r="A386" s="2" t="s">
        <v>195</v>
      </c>
      <c r="B386" s="2" t="s">
        <v>64</v>
      </c>
      <c r="C386" s="2" t="s">
        <v>115</v>
      </c>
      <c r="D386" s="2" t="s">
        <v>116</v>
      </c>
      <c r="E386" s="2" t="s">
        <v>96</v>
      </c>
      <c r="F386" s="2" t="n">
        <v>27</v>
      </c>
      <c r="G386" s="2" t="n">
        <v>40</v>
      </c>
      <c r="H386" s="2" t="n">
        <f aca="false">ROUND(F386/G386*100,0)</f>
        <v>68</v>
      </c>
      <c r="I386" s="2" t="str">
        <f aca="false">IF(H386&gt;=workload_config!$B$2,"Overloaded",IF(H386&lt;workload_config!$B$3,"Underutilized","Optimal"))</f>
        <v>Optimal</v>
      </c>
      <c r="J386" s="2" t="n">
        <v>3</v>
      </c>
      <c r="K386" s="2" t="n">
        <v>27</v>
      </c>
      <c r="L386" s="2" t="n">
        <v>0</v>
      </c>
      <c r="M386" s="2" t="n">
        <v>0</v>
      </c>
    </row>
    <row r="387" customFormat="false" ht="15" hidden="false" customHeight="false" outlineLevel="0" collapsed="false">
      <c r="A387" s="2" t="s">
        <v>195</v>
      </c>
      <c r="B387" s="2" t="s">
        <v>64</v>
      </c>
      <c r="C387" s="2" t="s">
        <v>117</v>
      </c>
      <c r="D387" s="2" t="s">
        <v>118</v>
      </c>
      <c r="E387" s="2" t="s">
        <v>119</v>
      </c>
      <c r="F387" s="2" t="n">
        <v>20</v>
      </c>
      <c r="G387" s="2" t="n">
        <v>40</v>
      </c>
      <c r="H387" s="2" t="n">
        <f aca="false">ROUND(F387/G387*100,0)</f>
        <v>50</v>
      </c>
      <c r="I387" s="2" t="str">
        <f aca="false">IF(H387&gt;=workload_config!$B$2,"Overloaded",IF(H387&lt;workload_config!$B$3,"Underutilized","Optimal"))</f>
        <v>Optimal</v>
      </c>
      <c r="J387" s="2" t="n">
        <v>2</v>
      </c>
      <c r="K387" s="2" t="n">
        <v>20</v>
      </c>
      <c r="L387" s="2" t="n">
        <v>0</v>
      </c>
      <c r="M387" s="2" t="n">
        <v>0</v>
      </c>
    </row>
    <row r="388" customFormat="false" ht="15" hidden="false" customHeight="false" outlineLevel="0" collapsed="false">
      <c r="A388" s="2" t="s">
        <v>195</v>
      </c>
      <c r="B388" s="2" t="s">
        <v>64</v>
      </c>
      <c r="C388" s="2" t="s">
        <v>120</v>
      </c>
      <c r="D388" s="2" t="s">
        <v>121</v>
      </c>
      <c r="E388" s="2" t="s">
        <v>119</v>
      </c>
      <c r="F388" s="2" t="n">
        <v>30</v>
      </c>
      <c r="G388" s="2" t="n">
        <v>40</v>
      </c>
      <c r="H388" s="2" t="n">
        <f aca="false">ROUND(F388/G388*100,0)</f>
        <v>75</v>
      </c>
      <c r="I388" s="2" t="str">
        <f aca="false">IF(H388&gt;=workload_config!$B$2,"Overloaded",IF(H388&lt;workload_config!$B$3,"Underutilized","Optimal"))</f>
        <v>Optimal</v>
      </c>
      <c r="J388" s="2" t="n">
        <v>3</v>
      </c>
      <c r="K388" s="2" t="n">
        <v>22</v>
      </c>
      <c r="L388" s="2" t="n">
        <v>8</v>
      </c>
      <c r="M388" s="2" t="n">
        <v>0</v>
      </c>
    </row>
    <row r="389" customFormat="false" ht="15" hidden="false" customHeight="false" outlineLevel="0" collapsed="false">
      <c r="A389" s="2" t="s">
        <v>195</v>
      </c>
      <c r="B389" s="2" t="s">
        <v>64</v>
      </c>
      <c r="C389" s="2" t="s">
        <v>122</v>
      </c>
      <c r="D389" s="2" t="s">
        <v>123</v>
      </c>
      <c r="E389" s="2" t="s">
        <v>119</v>
      </c>
      <c r="F389" s="2" t="n">
        <v>50</v>
      </c>
      <c r="G389" s="2" t="n">
        <v>40</v>
      </c>
      <c r="H389" s="2" t="n">
        <f aca="false">ROUND(F389/G389*100,0)</f>
        <v>125</v>
      </c>
      <c r="I389" s="2" t="str">
        <f aca="false">IF(H389&gt;=workload_config!$B$2,"Overloaded",IF(H389&lt;workload_config!$B$3,"Underutilized","Optimal"))</f>
        <v>Overloaded</v>
      </c>
      <c r="J389" s="2" t="n">
        <v>5</v>
      </c>
      <c r="K389" s="2" t="n">
        <v>40</v>
      </c>
      <c r="L389" s="2" t="n">
        <v>10</v>
      </c>
      <c r="M389" s="2" t="n">
        <v>12</v>
      </c>
    </row>
    <row r="390" customFormat="false" ht="15" hidden="false" customHeight="false" outlineLevel="0" collapsed="false">
      <c r="A390" s="2" t="s">
        <v>195</v>
      </c>
      <c r="B390" s="2" t="s">
        <v>64</v>
      </c>
      <c r="C390" s="2" t="s">
        <v>124</v>
      </c>
      <c r="D390" s="2" t="s">
        <v>125</v>
      </c>
      <c r="E390" s="2" t="s">
        <v>119</v>
      </c>
      <c r="F390" s="2" t="n">
        <v>27</v>
      </c>
      <c r="G390" s="2" t="n">
        <v>40</v>
      </c>
      <c r="H390" s="2" t="n">
        <f aca="false">ROUND(F390/G390*100,0)</f>
        <v>68</v>
      </c>
      <c r="I390" s="2" t="str">
        <f aca="false">IF(H390&gt;=workload_config!$B$2,"Overloaded",IF(H390&lt;workload_config!$B$3,"Underutilized","Optimal"))</f>
        <v>Optimal</v>
      </c>
      <c r="J390" s="2" t="n">
        <v>3</v>
      </c>
      <c r="K390" s="2" t="n">
        <v>18</v>
      </c>
      <c r="L390" s="2" t="n">
        <v>9</v>
      </c>
      <c r="M390" s="2" t="n">
        <v>0</v>
      </c>
    </row>
    <row r="391" customFormat="false" ht="15" hidden="false" customHeight="false" outlineLevel="0" collapsed="false">
      <c r="A391" s="2" t="s">
        <v>195</v>
      </c>
      <c r="B391" s="2" t="s">
        <v>64</v>
      </c>
      <c r="C391" s="2" t="s">
        <v>126</v>
      </c>
      <c r="D391" s="2" t="s">
        <v>127</v>
      </c>
      <c r="E391" s="2" t="s">
        <v>119</v>
      </c>
      <c r="F391" s="2" t="n">
        <v>39</v>
      </c>
      <c r="G391" s="2" t="n">
        <v>40</v>
      </c>
      <c r="H391" s="2" t="n">
        <f aca="false">ROUND(F391/G391*100,0)</f>
        <v>98</v>
      </c>
      <c r="I391" s="2" t="str">
        <f aca="false">IF(H391&gt;=workload_config!$B$2,"Overloaded",IF(H391&lt;workload_config!$B$3,"Underutilized","Optimal"))</f>
        <v>Overloaded</v>
      </c>
      <c r="J391" s="2" t="n">
        <v>4</v>
      </c>
      <c r="K391" s="2" t="n">
        <v>39</v>
      </c>
      <c r="L391" s="2" t="n">
        <v>0</v>
      </c>
      <c r="M391" s="2" t="n">
        <v>1</v>
      </c>
    </row>
    <row r="392" customFormat="false" ht="15" hidden="false" customHeight="false" outlineLevel="0" collapsed="false">
      <c r="A392" s="2" t="s">
        <v>195</v>
      </c>
      <c r="B392" s="2" t="s">
        <v>64</v>
      </c>
      <c r="C392" s="2" t="s">
        <v>128</v>
      </c>
      <c r="D392" s="2" t="s">
        <v>129</v>
      </c>
      <c r="E392" s="2" t="s">
        <v>119</v>
      </c>
      <c r="F392" s="2" t="n">
        <v>24</v>
      </c>
      <c r="G392" s="2" t="n">
        <v>40</v>
      </c>
      <c r="H392" s="2" t="n">
        <f aca="false">ROUND(F392/G392*100,0)</f>
        <v>60</v>
      </c>
      <c r="I392" s="2" t="str">
        <f aca="false">IF(H392&gt;=workload_config!$B$2,"Overloaded",IF(H392&lt;workload_config!$B$3,"Underutilized","Optimal"))</f>
        <v>Optimal</v>
      </c>
      <c r="J392" s="2" t="n">
        <v>2</v>
      </c>
      <c r="K392" s="2" t="n">
        <v>24</v>
      </c>
      <c r="L392" s="2" t="n">
        <v>0</v>
      </c>
      <c r="M392" s="2" t="n">
        <v>0</v>
      </c>
    </row>
    <row r="393" customFormat="false" ht="15" hidden="false" customHeight="false" outlineLevel="0" collapsed="false">
      <c r="A393" s="2" t="s">
        <v>195</v>
      </c>
      <c r="B393" s="2" t="s">
        <v>64</v>
      </c>
      <c r="C393" s="2" t="s">
        <v>130</v>
      </c>
      <c r="D393" s="2" t="s">
        <v>131</v>
      </c>
      <c r="E393" s="2" t="s">
        <v>119</v>
      </c>
      <c r="F393" s="2" t="n">
        <v>27</v>
      </c>
      <c r="G393" s="2" t="n">
        <v>40</v>
      </c>
      <c r="H393" s="2" t="n">
        <f aca="false">ROUND(F393/G393*100,0)</f>
        <v>68</v>
      </c>
      <c r="I393" s="2" t="str">
        <f aca="false">IF(H393&gt;=workload_config!$B$2,"Overloaded",IF(H393&lt;workload_config!$B$3,"Underutilized","Optimal"))</f>
        <v>Optimal</v>
      </c>
      <c r="J393" s="2" t="n">
        <v>3</v>
      </c>
      <c r="K393" s="2" t="n">
        <v>27</v>
      </c>
      <c r="L393" s="2" t="n">
        <v>0</v>
      </c>
      <c r="M393" s="2" t="n">
        <v>0</v>
      </c>
    </row>
    <row r="394" customFormat="false" ht="15" hidden="false" customHeight="false" outlineLevel="0" collapsed="false">
      <c r="A394" s="2" t="s">
        <v>195</v>
      </c>
      <c r="B394" s="2" t="s">
        <v>64</v>
      </c>
      <c r="C394" s="2" t="s">
        <v>132</v>
      </c>
      <c r="D394" s="2" t="s">
        <v>133</v>
      </c>
      <c r="E394" s="2" t="s">
        <v>119</v>
      </c>
      <c r="F394" s="2" t="n">
        <v>27</v>
      </c>
      <c r="G394" s="2" t="n">
        <v>40</v>
      </c>
      <c r="H394" s="2" t="n">
        <f aca="false">ROUND(F394/G394*100,0)</f>
        <v>68</v>
      </c>
      <c r="I394" s="2" t="str">
        <f aca="false">IF(H394&gt;=workload_config!$B$2,"Overloaded",IF(H394&lt;workload_config!$B$3,"Underutilized","Optimal"))</f>
        <v>Optimal</v>
      </c>
      <c r="J394" s="2" t="n">
        <v>3</v>
      </c>
      <c r="K394" s="2" t="n">
        <v>17</v>
      </c>
      <c r="L394" s="2" t="n">
        <v>10</v>
      </c>
      <c r="M394" s="2" t="n">
        <v>0</v>
      </c>
    </row>
    <row r="395" customFormat="false" ht="15" hidden="false" customHeight="false" outlineLevel="0" collapsed="false">
      <c r="A395" s="2" t="s">
        <v>195</v>
      </c>
      <c r="B395" s="2" t="s">
        <v>64</v>
      </c>
      <c r="C395" s="2" t="s">
        <v>134</v>
      </c>
      <c r="D395" s="2" t="s">
        <v>135</v>
      </c>
      <c r="E395" s="2" t="s">
        <v>119</v>
      </c>
      <c r="F395" s="2" t="n">
        <v>30</v>
      </c>
      <c r="G395" s="2" t="n">
        <v>40</v>
      </c>
      <c r="H395" s="2" t="n">
        <f aca="false">ROUND(F395/G395*100,0)</f>
        <v>75</v>
      </c>
      <c r="I395" s="2" t="str">
        <f aca="false">IF(H395&gt;=workload_config!$B$2,"Overloaded",IF(H395&lt;workload_config!$B$3,"Underutilized","Optimal"))</f>
        <v>Optimal</v>
      </c>
      <c r="J395" s="2" t="n">
        <v>3</v>
      </c>
      <c r="K395" s="2" t="n">
        <v>20</v>
      </c>
      <c r="L395" s="2" t="n">
        <v>10</v>
      </c>
      <c r="M395" s="2" t="n">
        <v>0</v>
      </c>
    </row>
    <row r="396" customFormat="false" ht="15" hidden="false" customHeight="false" outlineLevel="0" collapsed="false">
      <c r="A396" s="2" t="s">
        <v>195</v>
      </c>
      <c r="B396" s="2" t="s">
        <v>64</v>
      </c>
      <c r="C396" s="2" t="s">
        <v>136</v>
      </c>
      <c r="D396" s="2" t="s">
        <v>137</v>
      </c>
      <c r="E396" s="2" t="s">
        <v>119</v>
      </c>
      <c r="F396" s="2" t="n">
        <v>25</v>
      </c>
      <c r="G396" s="2" t="n">
        <v>40</v>
      </c>
      <c r="H396" s="2" t="n">
        <f aca="false">ROUND(F396/G396*100,0)</f>
        <v>63</v>
      </c>
      <c r="I396" s="2" t="str">
        <f aca="false">IF(H396&gt;=workload_config!$B$2,"Overloaded",IF(H396&lt;workload_config!$B$3,"Underutilized","Optimal"))</f>
        <v>Optimal</v>
      </c>
      <c r="J396" s="2" t="n">
        <v>2</v>
      </c>
      <c r="K396" s="2" t="n">
        <v>25</v>
      </c>
      <c r="L396" s="2" t="n">
        <v>0</v>
      </c>
      <c r="M396" s="2" t="n">
        <v>0</v>
      </c>
    </row>
    <row r="397" customFormat="false" ht="15" hidden="false" customHeight="false" outlineLevel="0" collapsed="false">
      <c r="A397" s="2" t="s">
        <v>195</v>
      </c>
      <c r="B397" s="2" t="s">
        <v>64</v>
      </c>
      <c r="C397" s="2" t="s">
        <v>138</v>
      </c>
      <c r="D397" s="2" t="s">
        <v>139</v>
      </c>
      <c r="E397" s="2" t="s">
        <v>119</v>
      </c>
      <c r="F397" s="2" t="n">
        <v>14</v>
      </c>
      <c r="G397" s="2" t="n">
        <v>40</v>
      </c>
      <c r="H397" s="2" t="n">
        <f aca="false">ROUND(F397/G397*100,0)</f>
        <v>35</v>
      </c>
      <c r="I397" s="2" t="str">
        <f aca="false">IF(H397&gt;=workload_config!$B$2,"Overloaded",IF(H397&lt;workload_config!$B$3,"Underutilized","Optimal"))</f>
        <v>Underutilized</v>
      </c>
      <c r="J397" s="2" t="n">
        <v>1</v>
      </c>
      <c r="K397" s="2" t="n">
        <v>14</v>
      </c>
      <c r="L397" s="2" t="n">
        <v>0</v>
      </c>
      <c r="M397" s="2" t="n">
        <v>0</v>
      </c>
    </row>
    <row r="398" customFormat="false" ht="15" hidden="false" customHeight="false" outlineLevel="0" collapsed="false">
      <c r="A398" s="2" t="s">
        <v>195</v>
      </c>
      <c r="B398" s="2" t="s">
        <v>64</v>
      </c>
      <c r="C398" s="2" t="s">
        <v>140</v>
      </c>
      <c r="D398" s="2" t="s">
        <v>141</v>
      </c>
      <c r="E398" s="2" t="s">
        <v>119</v>
      </c>
      <c r="F398" s="2" t="n">
        <v>32</v>
      </c>
      <c r="G398" s="2" t="n">
        <v>40</v>
      </c>
      <c r="H398" s="2" t="n">
        <f aca="false">ROUND(F398/G398*100,0)</f>
        <v>80</v>
      </c>
      <c r="I398" s="2" t="str">
        <f aca="false">IF(H398&gt;=workload_config!$B$2,"Overloaded",IF(H398&lt;workload_config!$B$3,"Underutilized","Optimal"))</f>
        <v>Optimal</v>
      </c>
      <c r="J398" s="2" t="n">
        <v>3</v>
      </c>
      <c r="K398" s="2" t="n">
        <v>24</v>
      </c>
      <c r="L398" s="2" t="n">
        <v>8</v>
      </c>
      <c r="M398" s="2" t="n">
        <v>0</v>
      </c>
    </row>
    <row r="399" customFormat="false" ht="15" hidden="false" customHeight="false" outlineLevel="0" collapsed="false">
      <c r="A399" s="2" t="s">
        <v>195</v>
      </c>
      <c r="B399" s="2" t="s">
        <v>64</v>
      </c>
      <c r="C399" s="2" t="s">
        <v>142</v>
      </c>
      <c r="D399" s="2" t="s">
        <v>143</v>
      </c>
      <c r="E399" s="2" t="s">
        <v>119</v>
      </c>
      <c r="F399" s="2" t="n">
        <v>29</v>
      </c>
      <c r="G399" s="2" t="n">
        <v>40</v>
      </c>
      <c r="H399" s="2" t="n">
        <f aca="false">ROUND(F399/G399*100,0)</f>
        <v>73</v>
      </c>
      <c r="I399" s="2" t="str">
        <f aca="false">IF(H399&gt;=workload_config!$B$2,"Overloaded",IF(H399&lt;workload_config!$B$3,"Underutilized","Optimal"))</f>
        <v>Optimal</v>
      </c>
      <c r="J399" s="2" t="n">
        <v>3</v>
      </c>
      <c r="K399" s="2" t="n">
        <v>18</v>
      </c>
      <c r="L399" s="2" t="n">
        <v>11</v>
      </c>
      <c r="M399" s="2" t="n">
        <v>0</v>
      </c>
    </row>
    <row r="400" customFormat="false" ht="15" hidden="false" customHeight="false" outlineLevel="0" collapsed="false">
      <c r="A400" s="2" t="s">
        <v>195</v>
      </c>
      <c r="B400" s="2" t="s">
        <v>64</v>
      </c>
      <c r="C400" s="2" t="s">
        <v>144</v>
      </c>
      <c r="D400" s="2" t="s">
        <v>145</v>
      </c>
      <c r="E400" s="2" t="s">
        <v>146</v>
      </c>
      <c r="F400" s="2" t="n">
        <v>14</v>
      </c>
      <c r="G400" s="2" t="n">
        <v>40</v>
      </c>
      <c r="H400" s="2" t="n">
        <f aca="false">ROUND(F400/G400*100,0)</f>
        <v>35</v>
      </c>
      <c r="I400" s="2" t="str">
        <f aca="false">IF(H400&gt;=workload_config!$B$2,"Overloaded",IF(H400&lt;workload_config!$B$3,"Underutilized","Optimal"))</f>
        <v>Underutilized</v>
      </c>
      <c r="J400" s="2" t="n">
        <v>1</v>
      </c>
      <c r="K400" s="2" t="n">
        <v>14</v>
      </c>
      <c r="L400" s="2" t="n">
        <v>0</v>
      </c>
      <c r="M400" s="2" t="n">
        <v>0</v>
      </c>
    </row>
    <row r="401" customFormat="false" ht="15" hidden="false" customHeight="false" outlineLevel="0" collapsed="false">
      <c r="A401" s="2" t="s">
        <v>195</v>
      </c>
      <c r="B401" s="2" t="s">
        <v>64</v>
      </c>
      <c r="C401" s="2" t="s">
        <v>147</v>
      </c>
      <c r="D401" s="2" t="s">
        <v>148</v>
      </c>
      <c r="E401" s="2" t="s">
        <v>146</v>
      </c>
      <c r="F401" s="2" t="n">
        <v>16</v>
      </c>
      <c r="G401" s="2" t="n">
        <v>40</v>
      </c>
      <c r="H401" s="2" t="n">
        <f aca="false">ROUND(F401/G401*100,0)</f>
        <v>40</v>
      </c>
      <c r="I401" s="2" t="str">
        <f aca="false">IF(H401&gt;=workload_config!$B$2,"Overloaded",IF(H401&lt;workload_config!$B$3,"Underutilized","Optimal"))</f>
        <v>Underutilized</v>
      </c>
      <c r="J401" s="2" t="n">
        <v>2</v>
      </c>
      <c r="K401" s="2" t="n">
        <v>5</v>
      </c>
      <c r="L401" s="2" t="n">
        <v>11</v>
      </c>
      <c r="M401" s="2" t="n">
        <v>0</v>
      </c>
    </row>
    <row r="402" customFormat="false" ht="15" hidden="false" customHeight="false" outlineLevel="0" collapsed="false">
      <c r="A402" s="2" t="s">
        <v>195</v>
      </c>
      <c r="B402" s="2" t="s">
        <v>64</v>
      </c>
      <c r="C402" s="2" t="s">
        <v>149</v>
      </c>
      <c r="D402" s="2" t="s">
        <v>150</v>
      </c>
      <c r="E402" s="2" t="s">
        <v>146</v>
      </c>
      <c r="F402" s="2" t="n">
        <v>27</v>
      </c>
      <c r="G402" s="2" t="n">
        <v>40</v>
      </c>
      <c r="H402" s="2" t="n">
        <f aca="false">ROUND(F402/G402*100,0)</f>
        <v>68</v>
      </c>
      <c r="I402" s="2" t="str">
        <f aca="false">IF(H402&gt;=workload_config!$B$2,"Overloaded",IF(H402&lt;workload_config!$B$3,"Underutilized","Optimal"))</f>
        <v>Optimal</v>
      </c>
      <c r="J402" s="2" t="n">
        <v>3</v>
      </c>
      <c r="K402" s="2" t="n">
        <v>20</v>
      </c>
      <c r="L402" s="2" t="n">
        <v>7</v>
      </c>
      <c r="M402" s="2" t="n">
        <v>0</v>
      </c>
    </row>
    <row r="403" customFormat="false" ht="15" hidden="false" customHeight="false" outlineLevel="0" collapsed="false">
      <c r="A403" s="2" t="s">
        <v>195</v>
      </c>
      <c r="B403" s="2" t="s">
        <v>64</v>
      </c>
      <c r="C403" s="2" t="s">
        <v>151</v>
      </c>
      <c r="D403" s="2" t="s">
        <v>152</v>
      </c>
      <c r="E403" s="2" t="s">
        <v>146</v>
      </c>
      <c r="F403" s="2" t="n">
        <v>30</v>
      </c>
      <c r="G403" s="2" t="n">
        <v>40</v>
      </c>
      <c r="H403" s="2" t="n">
        <f aca="false">ROUND(F403/G403*100,0)</f>
        <v>75</v>
      </c>
      <c r="I403" s="2" t="str">
        <f aca="false">IF(H403&gt;=workload_config!$B$2,"Overloaded",IF(H403&lt;workload_config!$B$3,"Underutilized","Optimal"))</f>
        <v>Optimal</v>
      </c>
      <c r="J403" s="2" t="n">
        <v>3</v>
      </c>
      <c r="K403" s="2" t="n">
        <v>30</v>
      </c>
      <c r="L403" s="2" t="n">
        <v>0</v>
      </c>
      <c r="M403" s="2" t="n">
        <v>0</v>
      </c>
    </row>
    <row r="404" customFormat="false" ht="15" hidden="false" customHeight="false" outlineLevel="0" collapsed="false">
      <c r="A404" s="2" t="s">
        <v>195</v>
      </c>
      <c r="B404" s="2" t="s">
        <v>64</v>
      </c>
      <c r="C404" s="2" t="s">
        <v>153</v>
      </c>
      <c r="D404" s="2" t="s">
        <v>154</v>
      </c>
      <c r="E404" s="2" t="s">
        <v>146</v>
      </c>
      <c r="F404" s="2" t="n">
        <v>24</v>
      </c>
      <c r="G404" s="2" t="n">
        <v>40</v>
      </c>
      <c r="H404" s="2" t="n">
        <f aca="false">ROUND(F404/G404*100,0)</f>
        <v>60</v>
      </c>
      <c r="I404" s="2" t="str">
        <f aca="false">IF(H404&gt;=workload_config!$B$2,"Overloaded",IF(H404&lt;workload_config!$B$3,"Underutilized","Optimal"))</f>
        <v>Optimal</v>
      </c>
      <c r="J404" s="2" t="n">
        <v>2</v>
      </c>
      <c r="K404" s="2" t="n">
        <v>24</v>
      </c>
      <c r="L404" s="2" t="n">
        <v>0</v>
      </c>
      <c r="M404" s="2" t="n">
        <v>0</v>
      </c>
    </row>
    <row r="405" customFormat="false" ht="15" hidden="false" customHeight="false" outlineLevel="0" collapsed="false">
      <c r="A405" s="2" t="s">
        <v>195</v>
      </c>
      <c r="B405" s="2" t="s">
        <v>64</v>
      </c>
      <c r="C405" s="2" t="s">
        <v>155</v>
      </c>
      <c r="D405" s="2" t="s">
        <v>156</v>
      </c>
      <c r="E405" s="2" t="s">
        <v>146</v>
      </c>
      <c r="F405" s="2" t="n">
        <v>40</v>
      </c>
      <c r="G405" s="2" t="n">
        <v>40</v>
      </c>
      <c r="H405" s="2" t="n">
        <f aca="false">ROUND(F405/G405*100,0)</f>
        <v>100</v>
      </c>
      <c r="I405" s="2" t="str">
        <f aca="false">IF(H405&gt;=workload_config!$B$2,"Overloaded",IF(H405&lt;workload_config!$B$3,"Underutilized","Optimal"))</f>
        <v>Overloaded</v>
      </c>
      <c r="J405" s="2" t="n">
        <v>4</v>
      </c>
      <c r="K405" s="2" t="n">
        <v>40</v>
      </c>
      <c r="L405" s="2" t="n">
        <v>0</v>
      </c>
      <c r="M405" s="2" t="n">
        <v>1</v>
      </c>
    </row>
    <row r="406" customFormat="false" ht="15" hidden="false" customHeight="false" outlineLevel="0" collapsed="false">
      <c r="A406" s="2" t="s">
        <v>195</v>
      </c>
      <c r="B406" s="2" t="s">
        <v>64</v>
      </c>
      <c r="C406" s="2" t="s">
        <v>157</v>
      </c>
      <c r="D406" s="2" t="s">
        <v>158</v>
      </c>
      <c r="E406" s="2" t="s">
        <v>146</v>
      </c>
      <c r="F406" s="2" t="n">
        <v>27</v>
      </c>
      <c r="G406" s="2" t="n">
        <v>40</v>
      </c>
      <c r="H406" s="2" t="n">
        <f aca="false">ROUND(F406/G406*100,0)</f>
        <v>68</v>
      </c>
      <c r="I406" s="2" t="str">
        <f aca="false">IF(H406&gt;=workload_config!$B$2,"Overloaded",IF(H406&lt;workload_config!$B$3,"Underutilized","Optimal"))</f>
        <v>Optimal</v>
      </c>
      <c r="J406" s="2" t="n">
        <v>3</v>
      </c>
      <c r="K406" s="2" t="n">
        <v>27</v>
      </c>
      <c r="L406" s="2" t="n">
        <v>0</v>
      </c>
      <c r="M406" s="2" t="n">
        <v>0</v>
      </c>
    </row>
    <row r="407" customFormat="false" ht="15" hidden="false" customHeight="false" outlineLevel="0" collapsed="false">
      <c r="A407" s="2" t="s">
        <v>195</v>
      </c>
      <c r="B407" s="2" t="s">
        <v>64</v>
      </c>
      <c r="C407" s="2" t="s">
        <v>159</v>
      </c>
      <c r="D407" s="2" t="s">
        <v>160</v>
      </c>
      <c r="E407" s="2" t="s">
        <v>146</v>
      </c>
      <c r="F407" s="2" t="n">
        <v>30</v>
      </c>
      <c r="G407" s="2" t="n">
        <v>40</v>
      </c>
      <c r="H407" s="2" t="n">
        <f aca="false">ROUND(F407/G407*100,0)</f>
        <v>75</v>
      </c>
      <c r="I407" s="2" t="str">
        <f aca="false">IF(H407&gt;=workload_config!$B$2,"Overloaded",IF(H407&lt;workload_config!$B$3,"Underutilized","Optimal"))</f>
        <v>Optimal</v>
      </c>
      <c r="J407" s="2" t="n">
        <v>3</v>
      </c>
      <c r="K407" s="2" t="n">
        <v>30</v>
      </c>
      <c r="L407" s="2" t="n">
        <v>0</v>
      </c>
      <c r="M407" s="2" t="n">
        <v>0</v>
      </c>
    </row>
    <row r="408" customFormat="false" ht="15" hidden="false" customHeight="false" outlineLevel="0" collapsed="false">
      <c r="A408" s="2" t="s">
        <v>195</v>
      </c>
      <c r="B408" s="2" t="s">
        <v>64</v>
      </c>
      <c r="C408" s="2" t="s">
        <v>161</v>
      </c>
      <c r="D408" s="2" t="s">
        <v>162</v>
      </c>
      <c r="E408" s="2" t="s">
        <v>146</v>
      </c>
      <c r="F408" s="2" t="n">
        <v>25</v>
      </c>
      <c r="G408" s="2" t="n">
        <v>40</v>
      </c>
      <c r="H408" s="2" t="n">
        <f aca="false">ROUND(F408/G408*100,0)</f>
        <v>63</v>
      </c>
      <c r="I408" s="2" t="str">
        <f aca="false">IF(H408&gt;=workload_config!$B$2,"Overloaded",IF(H408&lt;workload_config!$B$3,"Underutilized","Optimal"))</f>
        <v>Optimal</v>
      </c>
      <c r="J408" s="2" t="n">
        <v>2</v>
      </c>
      <c r="K408" s="2" t="n">
        <v>25</v>
      </c>
      <c r="L408" s="2" t="n">
        <v>0</v>
      </c>
      <c r="M408" s="2" t="n">
        <v>0</v>
      </c>
    </row>
    <row r="409" customFormat="false" ht="15" hidden="false" customHeight="false" outlineLevel="0" collapsed="false">
      <c r="A409" s="2" t="s">
        <v>195</v>
      </c>
      <c r="B409" s="2" t="s">
        <v>64</v>
      </c>
      <c r="C409" s="2" t="s">
        <v>163</v>
      </c>
      <c r="D409" s="2" t="s">
        <v>164</v>
      </c>
      <c r="E409" s="2" t="s">
        <v>146</v>
      </c>
      <c r="F409" s="2" t="n">
        <v>32</v>
      </c>
      <c r="G409" s="2" t="n">
        <v>40</v>
      </c>
      <c r="H409" s="2" t="n">
        <f aca="false">ROUND(F409/G409*100,0)</f>
        <v>80</v>
      </c>
      <c r="I409" s="2" t="str">
        <f aca="false">IF(H409&gt;=workload_config!$B$2,"Overloaded",IF(H409&lt;workload_config!$B$3,"Underutilized","Optimal"))</f>
        <v>Optimal</v>
      </c>
      <c r="J409" s="2" t="n">
        <v>3</v>
      </c>
      <c r="K409" s="2" t="n">
        <v>32</v>
      </c>
      <c r="L409" s="2" t="n">
        <v>0</v>
      </c>
      <c r="M409" s="2" t="n">
        <v>0</v>
      </c>
    </row>
    <row r="410" customFormat="false" ht="15" hidden="false" customHeight="false" outlineLevel="0" collapsed="false">
      <c r="A410" s="2" t="s">
        <v>195</v>
      </c>
      <c r="B410" s="2" t="s">
        <v>64</v>
      </c>
      <c r="C410" s="2" t="s">
        <v>165</v>
      </c>
      <c r="D410" s="2" t="s">
        <v>166</v>
      </c>
      <c r="E410" s="2" t="s">
        <v>146</v>
      </c>
      <c r="F410" s="2" t="n">
        <v>29</v>
      </c>
      <c r="G410" s="2" t="n">
        <v>40</v>
      </c>
      <c r="H410" s="2" t="n">
        <f aca="false">ROUND(F410/G410*100,0)</f>
        <v>73</v>
      </c>
      <c r="I410" s="2" t="str">
        <f aca="false">IF(H410&gt;=workload_config!$B$2,"Overloaded",IF(H410&lt;workload_config!$B$3,"Underutilized","Optimal"))</f>
        <v>Optimal</v>
      </c>
      <c r="J410" s="2" t="n">
        <v>3</v>
      </c>
      <c r="K410" s="2" t="n">
        <v>29</v>
      </c>
      <c r="L410" s="2" t="n">
        <v>0</v>
      </c>
      <c r="M410" s="2" t="n">
        <v>0</v>
      </c>
    </row>
    <row r="411" customFormat="false" ht="15" hidden="false" customHeight="false" outlineLevel="0" collapsed="false">
      <c r="A411" s="2" t="s">
        <v>195</v>
      </c>
      <c r="B411" s="2" t="s">
        <v>64</v>
      </c>
      <c r="C411" s="2" t="s">
        <v>167</v>
      </c>
      <c r="D411" s="2" t="s">
        <v>168</v>
      </c>
      <c r="E411" s="2" t="s">
        <v>169</v>
      </c>
      <c r="F411" s="2" t="n">
        <v>35</v>
      </c>
      <c r="G411" s="2" t="n">
        <v>40</v>
      </c>
      <c r="H411" s="2" t="n">
        <f aca="false">ROUND(F411/G411*100,0)</f>
        <v>88</v>
      </c>
      <c r="I411" s="2" t="str">
        <f aca="false">IF(H411&gt;=workload_config!$B$2,"Overloaded",IF(H411&lt;workload_config!$B$3,"Underutilized","Optimal"))</f>
        <v>Overloaded</v>
      </c>
      <c r="J411" s="2" t="n">
        <v>4</v>
      </c>
      <c r="K411" s="2" t="n">
        <v>17</v>
      </c>
      <c r="L411" s="2" t="n">
        <v>18</v>
      </c>
      <c r="M411" s="2" t="n">
        <v>0</v>
      </c>
    </row>
    <row r="412" customFormat="false" ht="15" hidden="false" customHeight="false" outlineLevel="0" collapsed="false">
      <c r="A412" s="2" t="s">
        <v>195</v>
      </c>
      <c r="B412" s="2" t="s">
        <v>64</v>
      </c>
      <c r="C412" s="2" t="s">
        <v>170</v>
      </c>
      <c r="D412" s="2" t="s">
        <v>171</v>
      </c>
      <c r="E412" s="2" t="s">
        <v>169</v>
      </c>
      <c r="F412" s="2" t="n">
        <v>26</v>
      </c>
      <c r="G412" s="2" t="n">
        <v>40</v>
      </c>
      <c r="H412" s="2" t="n">
        <f aca="false">ROUND(F412/G412*100,0)</f>
        <v>65</v>
      </c>
      <c r="I412" s="2" t="str">
        <f aca="false">IF(H412&gt;=workload_config!$B$2,"Overloaded",IF(H412&lt;workload_config!$B$3,"Underutilized","Optimal"))</f>
        <v>Optimal</v>
      </c>
      <c r="J412" s="2" t="n">
        <v>3</v>
      </c>
      <c r="K412" s="2" t="n">
        <v>26</v>
      </c>
      <c r="L412" s="2" t="n">
        <v>0</v>
      </c>
      <c r="M412" s="2" t="n">
        <v>0</v>
      </c>
    </row>
    <row r="413" customFormat="false" ht="15" hidden="false" customHeight="false" outlineLevel="0" collapsed="false">
      <c r="A413" s="2" t="s">
        <v>195</v>
      </c>
      <c r="B413" s="2" t="s">
        <v>64</v>
      </c>
      <c r="C413" s="2" t="s">
        <v>172</v>
      </c>
      <c r="D413" s="2" t="s">
        <v>173</v>
      </c>
      <c r="E413" s="2" t="s">
        <v>169</v>
      </c>
      <c r="F413" s="2" t="n">
        <v>32</v>
      </c>
      <c r="G413" s="2" t="n">
        <v>40</v>
      </c>
      <c r="H413" s="2" t="n">
        <f aca="false">ROUND(F413/G413*100,0)</f>
        <v>80</v>
      </c>
      <c r="I413" s="2" t="str">
        <f aca="false">IF(H413&gt;=workload_config!$B$2,"Overloaded",IF(H413&lt;workload_config!$B$3,"Underutilized","Optimal"))</f>
        <v>Optimal</v>
      </c>
      <c r="J413" s="2" t="n">
        <v>3</v>
      </c>
      <c r="K413" s="2" t="n">
        <v>32</v>
      </c>
      <c r="L413" s="2" t="n">
        <v>0</v>
      </c>
      <c r="M413" s="2" t="n">
        <v>0</v>
      </c>
    </row>
    <row r="414" customFormat="false" ht="15" hidden="false" customHeight="false" outlineLevel="0" collapsed="false">
      <c r="A414" s="2" t="s">
        <v>195</v>
      </c>
      <c r="B414" s="2" t="s">
        <v>64</v>
      </c>
      <c r="C414" s="2" t="s">
        <v>174</v>
      </c>
      <c r="D414" s="2" t="s">
        <v>175</v>
      </c>
      <c r="E414" s="2" t="s">
        <v>169</v>
      </c>
      <c r="F414" s="2" t="n">
        <v>27</v>
      </c>
      <c r="G414" s="2" t="n">
        <v>40</v>
      </c>
      <c r="H414" s="2" t="n">
        <f aca="false">ROUND(F414/G414*100,0)</f>
        <v>68</v>
      </c>
      <c r="I414" s="2" t="str">
        <f aca="false">IF(H414&gt;=workload_config!$B$2,"Overloaded",IF(H414&lt;workload_config!$B$3,"Underutilized","Optimal"))</f>
        <v>Optimal</v>
      </c>
      <c r="J414" s="2" t="n">
        <v>3</v>
      </c>
      <c r="K414" s="2" t="n">
        <v>16</v>
      </c>
      <c r="L414" s="2" t="n">
        <v>11</v>
      </c>
      <c r="M414" s="2" t="n">
        <v>0</v>
      </c>
    </row>
    <row r="415" customFormat="false" ht="15" hidden="false" customHeight="false" outlineLevel="0" collapsed="false">
      <c r="A415" s="2" t="s">
        <v>195</v>
      </c>
      <c r="B415" s="2" t="s">
        <v>64</v>
      </c>
      <c r="C415" s="2" t="s">
        <v>176</v>
      </c>
      <c r="D415" s="2" t="s">
        <v>177</v>
      </c>
      <c r="E415" s="2" t="s">
        <v>169</v>
      </c>
      <c r="F415" s="2" t="n">
        <v>27</v>
      </c>
      <c r="G415" s="2" t="n">
        <v>40</v>
      </c>
      <c r="H415" s="2" t="n">
        <f aca="false">ROUND(F415/G415*100,0)</f>
        <v>68</v>
      </c>
      <c r="I415" s="2" t="str">
        <f aca="false">IF(H415&gt;=workload_config!$B$2,"Overloaded",IF(H415&lt;workload_config!$B$3,"Underutilized","Optimal"))</f>
        <v>Optimal</v>
      </c>
      <c r="J415" s="2" t="n">
        <v>3</v>
      </c>
      <c r="K415" s="2" t="n">
        <v>27</v>
      </c>
      <c r="L415" s="2" t="n">
        <v>0</v>
      </c>
      <c r="M415" s="2" t="n">
        <v>0</v>
      </c>
    </row>
    <row r="416" customFormat="false" ht="15" hidden="false" customHeight="false" outlineLevel="0" collapsed="false">
      <c r="A416" s="2" t="s">
        <v>195</v>
      </c>
      <c r="B416" s="2" t="s">
        <v>64</v>
      </c>
      <c r="C416" s="2" t="s">
        <v>178</v>
      </c>
      <c r="D416" s="2" t="s">
        <v>179</v>
      </c>
      <c r="E416" s="2" t="s">
        <v>169</v>
      </c>
      <c r="F416" s="2" t="n">
        <v>16</v>
      </c>
      <c r="G416" s="2" t="n">
        <v>40</v>
      </c>
      <c r="H416" s="2" t="n">
        <f aca="false">ROUND(F416/G416*100,0)</f>
        <v>40</v>
      </c>
      <c r="I416" s="2" t="str">
        <f aca="false">IF(H416&gt;=workload_config!$B$2,"Overloaded",IF(H416&lt;workload_config!$B$3,"Underutilized","Optimal"))</f>
        <v>Underutilized</v>
      </c>
      <c r="J416" s="2" t="n">
        <v>2</v>
      </c>
      <c r="K416" s="2" t="n">
        <v>6</v>
      </c>
      <c r="L416" s="2" t="n">
        <v>10</v>
      </c>
      <c r="M416" s="2" t="n">
        <v>0</v>
      </c>
    </row>
    <row r="417" customFormat="false" ht="15" hidden="false" customHeight="false" outlineLevel="0" collapsed="false">
      <c r="A417" s="2" t="s">
        <v>195</v>
      </c>
      <c r="B417" s="2" t="s">
        <v>64</v>
      </c>
      <c r="C417" s="2" t="s">
        <v>180</v>
      </c>
      <c r="D417" s="2" t="s">
        <v>181</v>
      </c>
      <c r="E417" s="2" t="s">
        <v>169</v>
      </c>
      <c r="F417" s="2" t="n">
        <v>21</v>
      </c>
      <c r="G417" s="2" t="n">
        <v>32</v>
      </c>
      <c r="H417" s="2" t="n">
        <f aca="false">ROUND(F417/G417*100,0)</f>
        <v>66</v>
      </c>
      <c r="I417" s="2" t="str">
        <f aca="false">IF(H417&gt;=workload_config!$B$2,"Overloaded",IF(H417&lt;workload_config!$B$3,"Underutilized","Optimal"))</f>
        <v>Optimal</v>
      </c>
      <c r="J417" s="2" t="n">
        <v>2</v>
      </c>
      <c r="K417" s="2" t="n">
        <v>21</v>
      </c>
      <c r="L417" s="2" t="n">
        <v>0</v>
      </c>
      <c r="M417" s="2" t="n">
        <v>0</v>
      </c>
    </row>
    <row r="418" customFormat="false" ht="15" hidden="false" customHeight="false" outlineLevel="0" collapsed="false">
      <c r="A418" s="2" t="s">
        <v>195</v>
      </c>
      <c r="B418" s="2" t="s">
        <v>64</v>
      </c>
      <c r="C418" s="2" t="s">
        <v>182</v>
      </c>
      <c r="D418" s="2" t="s">
        <v>183</v>
      </c>
      <c r="E418" s="2" t="s">
        <v>169</v>
      </c>
      <c r="F418" s="2" t="n">
        <v>17</v>
      </c>
      <c r="G418" s="2" t="n">
        <v>20</v>
      </c>
      <c r="H418" s="2" t="n">
        <f aca="false">ROUND(F418/G418*100,0)</f>
        <v>85</v>
      </c>
      <c r="I418" s="2" t="str">
        <f aca="false">IF(H418&gt;=workload_config!$B$2,"Overloaded",IF(H418&lt;workload_config!$B$3,"Underutilized","Optimal"))</f>
        <v>Optimal</v>
      </c>
      <c r="J418" s="2" t="n">
        <v>2</v>
      </c>
      <c r="K418" s="2" t="n">
        <v>17</v>
      </c>
      <c r="L418" s="2" t="n">
        <v>0</v>
      </c>
      <c r="M418" s="2" t="n">
        <v>0</v>
      </c>
    </row>
    <row r="419" customFormat="false" ht="15" hidden="false" customHeight="false" outlineLevel="0" collapsed="false">
      <c r="A419" s="2" t="s">
        <v>195</v>
      </c>
      <c r="B419" s="2" t="s">
        <v>64</v>
      </c>
      <c r="C419" s="2" t="s">
        <v>184</v>
      </c>
      <c r="D419" s="2" t="s">
        <v>185</v>
      </c>
      <c r="E419" s="2" t="s">
        <v>169</v>
      </c>
      <c r="F419" s="2" t="n">
        <v>25</v>
      </c>
      <c r="G419" s="2" t="n">
        <v>32</v>
      </c>
      <c r="H419" s="2" t="n">
        <f aca="false">ROUND(F419/G419*100,0)</f>
        <v>78</v>
      </c>
      <c r="I419" s="2" t="str">
        <f aca="false">IF(H419&gt;=workload_config!$B$2,"Overloaded",IF(H419&lt;workload_config!$B$3,"Underutilized","Optimal"))</f>
        <v>Optimal</v>
      </c>
      <c r="J419" s="2" t="n">
        <v>2</v>
      </c>
      <c r="K419" s="2" t="n">
        <v>25</v>
      </c>
      <c r="L419" s="2" t="n">
        <v>0</v>
      </c>
      <c r="M419" s="2" t="n">
        <v>0</v>
      </c>
    </row>
    <row r="420" customFormat="false" ht="15" hidden="false" customHeight="false" outlineLevel="0" collapsed="false">
      <c r="A420" s="2" t="s">
        <v>195</v>
      </c>
      <c r="B420" s="2" t="s">
        <v>64</v>
      </c>
      <c r="C420" s="2" t="s">
        <v>186</v>
      </c>
      <c r="D420" s="2" t="s">
        <v>187</v>
      </c>
      <c r="E420" s="2" t="s">
        <v>169</v>
      </c>
      <c r="F420" s="2" t="n">
        <v>30</v>
      </c>
      <c r="G420" s="2" t="n">
        <v>40</v>
      </c>
      <c r="H420" s="2" t="n">
        <f aca="false">ROUND(F420/G420*100,0)</f>
        <v>75</v>
      </c>
      <c r="I420" s="2" t="str">
        <f aca="false">IF(H420&gt;=workload_config!$B$2,"Overloaded",IF(H420&lt;workload_config!$B$3,"Underutilized","Optimal"))</f>
        <v>Optimal</v>
      </c>
      <c r="J420" s="2" t="n">
        <v>3</v>
      </c>
      <c r="K420" s="2" t="n">
        <v>19</v>
      </c>
      <c r="L420" s="2" t="n">
        <v>11</v>
      </c>
      <c r="M420" s="2" t="n">
        <v>0</v>
      </c>
    </row>
    <row r="421" customFormat="false" ht="15" hidden="false" customHeight="false" outlineLevel="0" collapsed="false">
      <c r="A421" s="2" t="s">
        <v>195</v>
      </c>
      <c r="B421" s="2" t="s">
        <v>64</v>
      </c>
      <c r="C421" s="2" t="s">
        <v>188</v>
      </c>
      <c r="D421" s="2" t="s">
        <v>189</v>
      </c>
      <c r="E421" s="2" t="s">
        <v>169</v>
      </c>
      <c r="F421" s="2" t="n">
        <v>25</v>
      </c>
      <c r="G421" s="2" t="n">
        <v>40</v>
      </c>
      <c r="H421" s="2" t="n">
        <f aca="false">ROUND(F421/G421*100,0)</f>
        <v>63</v>
      </c>
      <c r="I421" s="2" t="str">
        <f aca="false">IF(H421&gt;=workload_config!$B$2,"Overloaded",IF(H421&lt;workload_config!$B$3,"Underutilized","Optimal"))</f>
        <v>Optimal</v>
      </c>
      <c r="J421" s="2" t="n">
        <v>2</v>
      </c>
      <c r="K421" s="2" t="n">
        <v>12</v>
      </c>
      <c r="L421" s="2" t="n">
        <v>13</v>
      </c>
      <c r="M421" s="2" t="n">
        <v>0</v>
      </c>
    </row>
    <row r="422" customFormat="false" ht="15" hidden="false" customHeight="false" outlineLevel="0" collapsed="false">
      <c r="A422" s="2" t="s">
        <v>196</v>
      </c>
      <c r="B422" s="2" t="s">
        <v>64</v>
      </c>
      <c r="C422" s="2" t="s">
        <v>65</v>
      </c>
      <c r="D422" s="2" t="s">
        <v>66</v>
      </c>
      <c r="E422" s="2" t="s">
        <v>67</v>
      </c>
      <c r="F422" s="2" t="n">
        <v>47</v>
      </c>
      <c r="G422" s="2" t="n">
        <v>40</v>
      </c>
      <c r="H422" s="2" t="n">
        <f aca="false">ROUND(F422/G422*100,0)</f>
        <v>118</v>
      </c>
      <c r="I422" s="2" t="str">
        <f aca="false">IF(H422&gt;=workload_config!$B$2,"Overloaded",IF(H422&lt;workload_config!$B$3,"Underutilized","Optimal"))</f>
        <v>Overloaded</v>
      </c>
      <c r="J422" s="2" t="n">
        <v>5</v>
      </c>
      <c r="K422" s="2" t="n">
        <v>27</v>
      </c>
      <c r="L422" s="2" t="n">
        <v>20</v>
      </c>
      <c r="M422" s="2" t="n">
        <v>9</v>
      </c>
    </row>
    <row r="423" customFormat="false" ht="15" hidden="false" customHeight="false" outlineLevel="0" collapsed="false">
      <c r="A423" s="2" t="s">
        <v>196</v>
      </c>
      <c r="B423" s="2" t="s">
        <v>64</v>
      </c>
      <c r="C423" s="2" t="s">
        <v>68</v>
      </c>
      <c r="D423" s="2" t="s">
        <v>69</v>
      </c>
      <c r="E423" s="2" t="s">
        <v>67</v>
      </c>
      <c r="F423" s="2" t="n">
        <v>16</v>
      </c>
      <c r="G423" s="2" t="n">
        <v>40</v>
      </c>
      <c r="H423" s="2" t="n">
        <f aca="false">ROUND(F423/G423*100,0)</f>
        <v>40</v>
      </c>
      <c r="I423" s="2" t="str">
        <f aca="false">IF(H423&gt;=workload_config!$B$2,"Overloaded",IF(H423&lt;workload_config!$B$3,"Underutilized","Optimal"))</f>
        <v>Underutilized</v>
      </c>
      <c r="J423" s="2" t="n">
        <v>2</v>
      </c>
      <c r="K423" s="2" t="n">
        <v>16</v>
      </c>
      <c r="L423" s="2" t="n">
        <v>0</v>
      </c>
      <c r="M423" s="2" t="n">
        <v>0</v>
      </c>
    </row>
    <row r="424" customFormat="false" ht="15" hidden="false" customHeight="false" outlineLevel="0" collapsed="false">
      <c r="A424" s="2" t="s">
        <v>196</v>
      </c>
      <c r="B424" s="2" t="s">
        <v>64</v>
      </c>
      <c r="C424" s="2" t="s">
        <v>70</v>
      </c>
      <c r="D424" s="2" t="s">
        <v>71</v>
      </c>
      <c r="E424" s="2" t="s">
        <v>67</v>
      </c>
      <c r="F424" s="2" t="n">
        <v>45</v>
      </c>
      <c r="G424" s="2" t="n">
        <v>40</v>
      </c>
      <c r="H424" s="2" t="n">
        <f aca="false">ROUND(F424/G424*100,0)</f>
        <v>113</v>
      </c>
      <c r="I424" s="2" t="str">
        <f aca="false">IF(H424&gt;=workload_config!$B$2,"Overloaded",IF(H424&lt;workload_config!$B$3,"Underutilized","Optimal"))</f>
        <v>Overloaded</v>
      </c>
      <c r="J424" s="2" t="n">
        <v>4</v>
      </c>
      <c r="K424" s="2" t="n">
        <v>26</v>
      </c>
      <c r="L424" s="2" t="n">
        <v>19</v>
      </c>
      <c r="M424" s="2" t="n">
        <v>5</v>
      </c>
    </row>
    <row r="425" customFormat="false" ht="15" hidden="false" customHeight="false" outlineLevel="0" collapsed="false">
      <c r="A425" s="2" t="s">
        <v>196</v>
      </c>
      <c r="B425" s="2" t="s">
        <v>64</v>
      </c>
      <c r="C425" s="2" t="s">
        <v>72</v>
      </c>
      <c r="D425" s="2" t="s">
        <v>73</v>
      </c>
      <c r="E425" s="2" t="s">
        <v>67</v>
      </c>
      <c r="F425" s="2" t="n">
        <v>38</v>
      </c>
      <c r="G425" s="2" t="n">
        <v>40</v>
      </c>
      <c r="H425" s="2" t="n">
        <f aca="false">ROUND(F425/G425*100,0)</f>
        <v>95</v>
      </c>
      <c r="I425" s="2" t="str">
        <f aca="false">IF(H425&gt;=workload_config!$B$2,"Overloaded",IF(H425&lt;workload_config!$B$3,"Underutilized","Optimal"))</f>
        <v>Overloaded</v>
      </c>
      <c r="J425" s="2" t="n">
        <v>4</v>
      </c>
      <c r="K425" s="2" t="n">
        <v>38</v>
      </c>
      <c r="L425" s="2" t="n">
        <v>0</v>
      </c>
      <c r="M425" s="2" t="n">
        <v>0</v>
      </c>
    </row>
    <row r="426" customFormat="false" ht="15" hidden="false" customHeight="false" outlineLevel="0" collapsed="false">
      <c r="A426" s="2" t="s">
        <v>196</v>
      </c>
      <c r="B426" s="2" t="s">
        <v>64</v>
      </c>
      <c r="C426" s="2" t="s">
        <v>74</v>
      </c>
      <c r="D426" s="2" t="s">
        <v>75</v>
      </c>
      <c r="E426" s="2" t="s">
        <v>67</v>
      </c>
      <c r="F426" s="2" t="n">
        <v>27</v>
      </c>
      <c r="G426" s="2" t="n">
        <v>40</v>
      </c>
      <c r="H426" s="2" t="n">
        <f aca="false">ROUND(F426/G426*100,0)</f>
        <v>68</v>
      </c>
      <c r="I426" s="2" t="str">
        <f aca="false">IF(H426&gt;=workload_config!$B$2,"Overloaded",IF(H426&lt;workload_config!$B$3,"Underutilized","Optimal"))</f>
        <v>Optimal</v>
      </c>
      <c r="J426" s="2" t="n">
        <v>3</v>
      </c>
      <c r="K426" s="2" t="n">
        <v>27</v>
      </c>
      <c r="L426" s="2" t="n">
        <v>0</v>
      </c>
      <c r="M426" s="2" t="n">
        <v>0</v>
      </c>
    </row>
    <row r="427" customFormat="false" ht="15" hidden="false" customHeight="false" outlineLevel="0" collapsed="false">
      <c r="A427" s="2" t="s">
        <v>196</v>
      </c>
      <c r="B427" s="2" t="s">
        <v>64</v>
      </c>
      <c r="C427" s="2" t="s">
        <v>76</v>
      </c>
      <c r="D427" s="2" t="s">
        <v>77</v>
      </c>
      <c r="E427" s="2" t="s">
        <v>67</v>
      </c>
      <c r="F427" s="2" t="n">
        <v>34</v>
      </c>
      <c r="G427" s="2" t="n">
        <v>40</v>
      </c>
      <c r="H427" s="2" t="n">
        <f aca="false">ROUND(F427/G427*100,0)</f>
        <v>85</v>
      </c>
      <c r="I427" s="2" t="str">
        <f aca="false">IF(H427&gt;=workload_config!$B$2,"Overloaded",IF(H427&lt;workload_config!$B$3,"Underutilized","Optimal"))</f>
        <v>Optimal</v>
      </c>
      <c r="J427" s="2" t="n">
        <v>3</v>
      </c>
      <c r="K427" s="2" t="n">
        <v>34</v>
      </c>
      <c r="L427" s="2" t="n">
        <v>0</v>
      </c>
      <c r="M427" s="2" t="n">
        <v>0</v>
      </c>
    </row>
    <row r="428" customFormat="false" ht="15" hidden="false" customHeight="false" outlineLevel="0" collapsed="false">
      <c r="A428" s="2" t="s">
        <v>196</v>
      </c>
      <c r="B428" s="2" t="s">
        <v>64</v>
      </c>
      <c r="C428" s="2" t="s">
        <v>78</v>
      </c>
      <c r="D428" s="2" t="s">
        <v>79</v>
      </c>
      <c r="E428" s="2" t="s">
        <v>67</v>
      </c>
      <c r="F428" s="2" t="n">
        <v>33</v>
      </c>
      <c r="G428" s="2" t="n">
        <v>40</v>
      </c>
      <c r="H428" s="2" t="n">
        <f aca="false">ROUND(F428/G428*100,0)</f>
        <v>83</v>
      </c>
      <c r="I428" s="2" t="str">
        <f aca="false">IF(H428&gt;=workload_config!$B$2,"Overloaded",IF(H428&lt;workload_config!$B$3,"Underutilized","Optimal"))</f>
        <v>Optimal</v>
      </c>
      <c r="J428" s="2" t="n">
        <v>3</v>
      </c>
      <c r="K428" s="2" t="n">
        <v>33</v>
      </c>
      <c r="L428" s="2" t="n">
        <v>0</v>
      </c>
      <c r="M428" s="2" t="n">
        <v>0</v>
      </c>
    </row>
    <row r="429" customFormat="false" ht="15" hidden="false" customHeight="false" outlineLevel="0" collapsed="false">
      <c r="A429" s="2" t="s">
        <v>196</v>
      </c>
      <c r="B429" s="2" t="s">
        <v>64</v>
      </c>
      <c r="C429" s="2" t="s">
        <v>80</v>
      </c>
      <c r="D429" s="2" t="s">
        <v>81</v>
      </c>
      <c r="E429" s="2" t="s">
        <v>67</v>
      </c>
      <c r="F429" s="2" t="n">
        <v>29</v>
      </c>
      <c r="G429" s="2" t="n">
        <v>40</v>
      </c>
      <c r="H429" s="2" t="n">
        <f aca="false">ROUND(F429/G429*100,0)</f>
        <v>73</v>
      </c>
      <c r="I429" s="2" t="str">
        <f aca="false">IF(H429&gt;=workload_config!$B$2,"Overloaded",IF(H429&lt;workload_config!$B$3,"Underutilized","Optimal"))</f>
        <v>Optimal</v>
      </c>
      <c r="J429" s="2" t="n">
        <v>3</v>
      </c>
      <c r="K429" s="2" t="n">
        <v>8</v>
      </c>
      <c r="L429" s="2" t="n">
        <v>21</v>
      </c>
      <c r="M429" s="2" t="n">
        <v>0</v>
      </c>
    </row>
    <row r="430" customFormat="false" ht="15" hidden="false" customHeight="false" outlineLevel="0" collapsed="false">
      <c r="A430" s="2" t="s">
        <v>196</v>
      </c>
      <c r="B430" s="2" t="s">
        <v>64</v>
      </c>
      <c r="C430" s="2" t="s">
        <v>82</v>
      </c>
      <c r="D430" s="2" t="s">
        <v>83</v>
      </c>
      <c r="E430" s="2" t="s">
        <v>67</v>
      </c>
      <c r="F430" s="2" t="n">
        <v>30</v>
      </c>
      <c r="G430" s="2" t="n">
        <v>40</v>
      </c>
      <c r="H430" s="2" t="n">
        <f aca="false">ROUND(F430/G430*100,0)</f>
        <v>75</v>
      </c>
      <c r="I430" s="2" t="str">
        <f aca="false">IF(H430&gt;=workload_config!$B$2,"Overloaded",IF(H430&lt;workload_config!$B$3,"Underutilized","Optimal"))</f>
        <v>Optimal</v>
      </c>
      <c r="J430" s="2" t="n">
        <v>3</v>
      </c>
      <c r="K430" s="2" t="n">
        <v>9</v>
      </c>
      <c r="L430" s="2" t="n">
        <v>21</v>
      </c>
      <c r="M430" s="2" t="n">
        <v>0</v>
      </c>
    </row>
    <row r="431" customFormat="false" ht="15" hidden="false" customHeight="false" outlineLevel="0" collapsed="false">
      <c r="A431" s="2" t="s">
        <v>196</v>
      </c>
      <c r="B431" s="2" t="s">
        <v>64</v>
      </c>
      <c r="C431" s="2" t="s">
        <v>84</v>
      </c>
      <c r="D431" s="2" t="s">
        <v>85</v>
      </c>
      <c r="E431" s="2" t="s">
        <v>67</v>
      </c>
      <c r="F431" s="2" t="n">
        <v>33</v>
      </c>
      <c r="G431" s="2" t="n">
        <v>40</v>
      </c>
      <c r="H431" s="2" t="n">
        <f aca="false">ROUND(F431/G431*100,0)</f>
        <v>83</v>
      </c>
      <c r="I431" s="2" t="str">
        <f aca="false">IF(H431&gt;=workload_config!$B$2,"Overloaded",IF(H431&lt;workload_config!$B$3,"Underutilized","Optimal"))</f>
        <v>Optimal</v>
      </c>
      <c r="J431" s="2" t="n">
        <v>3</v>
      </c>
      <c r="K431" s="2" t="n">
        <v>11</v>
      </c>
      <c r="L431" s="2" t="n">
        <v>22</v>
      </c>
      <c r="M431" s="2" t="n">
        <v>0</v>
      </c>
    </row>
    <row r="432" customFormat="false" ht="15" hidden="false" customHeight="false" outlineLevel="0" collapsed="false">
      <c r="A432" s="2" t="s">
        <v>196</v>
      </c>
      <c r="B432" s="2" t="s">
        <v>64</v>
      </c>
      <c r="C432" s="2" t="s">
        <v>86</v>
      </c>
      <c r="D432" s="2" t="s">
        <v>87</v>
      </c>
      <c r="E432" s="2" t="s">
        <v>67</v>
      </c>
      <c r="F432" s="2" t="n">
        <v>30</v>
      </c>
      <c r="G432" s="2" t="n">
        <v>40</v>
      </c>
      <c r="H432" s="2" t="n">
        <f aca="false">ROUND(F432/G432*100,0)</f>
        <v>75</v>
      </c>
      <c r="I432" s="2" t="str">
        <f aca="false">IF(H432&gt;=workload_config!$B$2,"Overloaded",IF(H432&lt;workload_config!$B$3,"Underutilized","Optimal"))</f>
        <v>Optimal</v>
      </c>
      <c r="J432" s="2" t="n">
        <v>3</v>
      </c>
      <c r="K432" s="2" t="n">
        <v>30</v>
      </c>
      <c r="L432" s="2" t="n">
        <v>0</v>
      </c>
      <c r="M432" s="2" t="n">
        <v>0</v>
      </c>
    </row>
    <row r="433" customFormat="false" ht="15" hidden="false" customHeight="false" outlineLevel="0" collapsed="false">
      <c r="A433" s="2" t="s">
        <v>196</v>
      </c>
      <c r="B433" s="2" t="s">
        <v>64</v>
      </c>
      <c r="C433" s="2" t="s">
        <v>88</v>
      </c>
      <c r="D433" s="2" t="s">
        <v>89</v>
      </c>
      <c r="E433" s="2" t="s">
        <v>67</v>
      </c>
      <c r="F433" s="2" t="n">
        <v>26</v>
      </c>
      <c r="G433" s="2" t="n">
        <v>40</v>
      </c>
      <c r="H433" s="2" t="n">
        <f aca="false">ROUND(F433/G433*100,0)</f>
        <v>65</v>
      </c>
      <c r="I433" s="2" t="str">
        <f aca="false">IF(H433&gt;=workload_config!$B$2,"Overloaded",IF(H433&lt;workload_config!$B$3,"Underutilized","Optimal"))</f>
        <v>Optimal</v>
      </c>
      <c r="J433" s="2" t="n">
        <v>3</v>
      </c>
      <c r="K433" s="2" t="n">
        <v>26</v>
      </c>
      <c r="L433" s="2" t="n">
        <v>0</v>
      </c>
      <c r="M433" s="2" t="n">
        <v>0</v>
      </c>
    </row>
    <row r="434" customFormat="false" ht="15" hidden="false" customHeight="false" outlineLevel="0" collapsed="false">
      <c r="A434" s="2" t="s">
        <v>196</v>
      </c>
      <c r="B434" s="2" t="s">
        <v>64</v>
      </c>
      <c r="C434" s="2" t="s">
        <v>90</v>
      </c>
      <c r="D434" s="2" t="s">
        <v>91</v>
      </c>
      <c r="E434" s="2" t="s">
        <v>67</v>
      </c>
      <c r="F434" s="2" t="n">
        <v>29</v>
      </c>
      <c r="G434" s="2" t="n">
        <v>40</v>
      </c>
      <c r="H434" s="2" t="n">
        <f aca="false">ROUND(F434/G434*100,0)</f>
        <v>73</v>
      </c>
      <c r="I434" s="2" t="str">
        <f aca="false">IF(H434&gt;=workload_config!$B$2,"Overloaded",IF(H434&lt;workload_config!$B$3,"Underutilized","Optimal"))</f>
        <v>Optimal</v>
      </c>
      <c r="J434" s="2" t="n">
        <v>3</v>
      </c>
      <c r="K434" s="2" t="n">
        <v>29</v>
      </c>
      <c r="L434" s="2" t="n">
        <v>0</v>
      </c>
      <c r="M434" s="2" t="n">
        <v>0</v>
      </c>
    </row>
    <row r="435" customFormat="false" ht="15" hidden="false" customHeight="false" outlineLevel="0" collapsed="false">
      <c r="A435" s="2" t="s">
        <v>196</v>
      </c>
      <c r="B435" s="2" t="s">
        <v>64</v>
      </c>
      <c r="C435" s="2" t="s">
        <v>92</v>
      </c>
      <c r="D435" s="2" t="s">
        <v>93</v>
      </c>
      <c r="E435" s="2" t="s">
        <v>67</v>
      </c>
      <c r="F435" s="2" t="n">
        <v>31</v>
      </c>
      <c r="G435" s="2" t="n">
        <v>40</v>
      </c>
      <c r="H435" s="2" t="n">
        <f aca="false">ROUND(F435/G435*100,0)</f>
        <v>78</v>
      </c>
      <c r="I435" s="2" t="str">
        <f aca="false">IF(H435&gt;=workload_config!$B$2,"Overloaded",IF(H435&lt;workload_config!$B$3,"Underutilized","Optimal"))</f>
        <v>Optimal</v>
      </c>
      <c r="J435" s="2" t="n">
        <v>3</v>
      </c>
      <c r="K435" s="2" t="n">
        <v>19</v>
      </c>
      <c r="L435" s="2" t="n">
        <v>12</v>
      </c>
      <c r="M435" s="2" t="n">
        <v>0</v>
      </c>
    </row>
    <row r="436" customFormat="false" ht="15" hidden="false" customHeight="false" outlineLevel="0" collapsed="false">
      <c r="A436" s="2" t="s">
        <v>196</v>
      </c>
      <c r="B436" s="2" t="s">
        <v>64</v>
      </c>
      <c r="C436" s="2" t="s">
        <v>94</v>
      </c>
      <c r="D436" s="2" t="s">
        <v>95</v>
      </c>
      <c r="E436" s="2" t="s">
        <v>96</v>
      </c>
      <c r="F436" s="2" t="n">
        <v>15</v>
      </c>
      <c r="G436" s="2" t="n">
        <v>40</v>
      </c>
      <c r="H436" s="2" t="n">
        <f aca="false">ROUND(F436/G436*100,0)</f>
        <v>38</v>
      </c>
      <c r="I436" s="2" t="str">
        <f aca="false">IF(H436&gt;=workload_config!$B$2,"Overloaded",IF(H436&lt;workload_config!$B$3,"Underutilized","Optimal"))</f>
        <v>Underutilized</v>
      </c>
      <c r="J436" s="2" t="n">
        <v>2</v>
      </c>
      <c r="K436" s="2" t="n">
        <v>15</v>
      </c>
      <c r="L436" s="2" t="n">
        <v>0</v>
      </c>
      <c r="M436" s="2" t="n">
        <v>0</v>
      </c>
    </row>
    <row r="437" customFormat="false" ht="15" hidden="false" customHeight="false" outlineLevel="0" collapsed="false">
      <c r="A437" s="2" t="s">
        <v>196</v>
      </c>
      <c r="B437" s="2" t="s">
        <v>64</v>
      </c>
      <c r="C437" s="2" t="s">
        <v>97</v>
      </c>
      <c r="D437" s="2" t="s">
        <v>98</v>
      </c>
      <c r="E437" s="2" t="s">
        <v>96</v>
      </c>
      <c r="F437" s="2" t="n">
        <v>20</v>
      </c>
      <c r="G437" s="2" t="n">
        <v>40</v>
      </c>
      <c r="H437" s="2" t="n">
        <f aca="false">ROUND(F437/G437*100,0)</f>
        <v>50</v>
      </c>
      <c r="I437" s="2" t="str">
        <f aca="false">IF(H437&gt;=workload_config!$B$2,"Overloaded",IF(H437&lt;workload_config!$B$3,"Underutilized","Optimal"))</f>
        <v>Optimal</v>
      </c>
      <c r="J437" s="2" t="n">
        <v>2</v>
      </c>
      <c r="K437" s="2" t="n">
        <v>20</v>
      </c>
      <c r="L437" s="2" t="n">
        <v>0</v>
      </c>
      <c r="M437" s="2" t="n">
        <v>0</v>
      </c>
    </row>
    <row r="438" customFormat="false" ht="15" hidden="false" customHeight="false" outlineLevel="0" collapsed="false">
      <c r="A438" s="2" t="s">
        <v>196</v>
      </c>
      <c r="B438" s="2" t="s">
        <v>64</v>
      </c>
      <c r="C438" s="2" t="s">
        <v>99</v>
      </c>
      <c r="D438" s="2" t="s">
        <v>100</v>
      </c>
      <c r="E438" s="2" t="s">
        <v>96</v>
      </c>
      <c r="F438" s="2" t="n">
        <v>12</v>
      </c>
      <c r="G438" s="2" t="n">
        <v>40</v>
      </c>
      <c r="H438" s="2" t="n">
        <f aca="false">ROUND(F438/G438*100,0)</f>
        <v>30</v>
      </c>
      <c r="I438" s="2" t="str">
        <f aca="false">IF(H438&gt;=workload_config!$B$2,"Overloaded",IF(H438&lt;workload_config!$B$3,"Underutilized","Optimal"))</f>
        <v>Underutilized</v>
      </c>
      <c r="J438" s="2" t="n">
        <v>1</v>
      </c>
      <c r="K438" s="2" t="n">
        <v>12</v>
      </c>
      <c r="L438" s="2" t="n">
        <v>0</v>
      </c>
      <c r="M438" s="2" t="n">
        <v>0</v>
      </c>
    </row>
    <row r="439" customFormat="false" ht="15" hidden="false" customHeight="false" outlineLevel="0" collapsed="false">
      <c r="A439" s="2" t="s">
        <v>196</v>
      </c>
      <c r="B439" s="2" t="s">
        <v>64</v>
      </c>
      <c r="C439" s="2" t="s">
        <v>101</v>
      </c>
      <c r="D439" s="2" t="s">
        <v>102</v>
      </c>
      <c r="E439" s="2" t="s">
        <v>96</v>
      </c>
      <c r="F439" s="2" t="n">
        <v>29</v>
      </c>
      <c r="G439" s="2" t="n">
        <v>40</v>
      </c>
      <c r="H439" s="2" t="n">
        <f aca="false">ROUND(F439/G439*100,0)</f>
        <v>73</v>
      </c>
      <c r="I439" s="2" t="str">
        <f aca="false">IF(H439&gt;=workload_config!$B$2,"Overloaded",IF(H439&lt;workload_config!$B$3,"Underutilized","Optimal"))</f>
        <v>Optimal</v>
      </c>
      <c r="J439" s="2" t="n">
        <v>3</v>
      </c>
      <c r="K439" s="2" t="n">
        <v>29</v>
      </c>
      <c r="L439" s="2" t="n">
        <v>0</v>
      </c>
      <c r="M439" s="2" t="n">
        <v>0</v>
      </c>
    </row>
    <row r="440" customFormat="false" ht="15" hidden="false" customHeight="false" outlineLevel="0" collapsed="false">
      <c r="A440" s="2" t="s">
        <v>196</v>
      </c>
      <c r="B440" s="2" t="s">
        <v>64</v>
      </c>
      <c r="C440" s="2" t="s">
        <v>103</v>
      </c>
      <c r="D440" s="2" t="s">
        <v>104</v>
      </c>
      <c r="E440" s="2" t="s">
        <v>96</v>
      </c>
      <c r="F440" s="2" t="n">
        <v>36</v>
      </c>
      <c r="G440" s="2" t="n">
        <v>40</v>
      </c>
      <c r="H440" s="2" t="n">
        <f aca="false">ROUND(F440/G440*100,0)</f>
        <v>90</v>
      </c>
      <c r="I440" s="2" t="str">
        <f aca="false">IF(H440&gt;=workload_config!$B$2,"Overloaded",IF(H440&lt;workload_config!$B$3,"Underutilized","Optimal"))</f>
        <v>Overloaded</v>
      </c>
      <c r="J440" s="2" t="n">
        <v>4</v>
      </c>
      <c r="K440" s="2" t="n">
        <v>18</v>
      </c>
      <c r="L440" s="2" t="n">
        <v>18</v>
      </c>
      <c r="M440" s="2" t="n">
        <v>3</v>
      </c>
    </row>
    <row r="441" customFormat="false" ht="15" hidden="false" customHeight="false" outlineLevel="0" collapsed="false">
      <c r="A441" s="2" t="s">
        <v>196</v>
      </c>
      <c r="B441" s="2" t="s">
        <v>64</v>
      </c>
      <c r="C441" s="2" t="s">
        <v>105</v>
      </c>
      <c r="D441" s="2" t="s">
        <v>106</v>
      </c>
      <c r="E441" s="2" t="s">
        <v>96</v>
      </c>
      <c r="F441" s="2" t="n">
        <v>31</v>
      </c>
      <c r="G441" s="2" t="n">
        <v>40</v>
      </c>
      <c r="H441" s="2" t="n">
        <f aca="false">ROUND(F441/G441*100,0)</f>
        <v>78</v>
      </c>
      <c r="I441" s="2" t="str">
        <f aca="false">IF(H441&gt;=workload_config!$B$2,"Overloaded",IF(H441&lt;workload_config!$B$3,"Underutilized","Optimal"))</f>
        <v>Optimal</v>
      </c>
      <c r="J441" s="2" t="n">
        <v>3</v>
      </c>
      <c r="K441" s="2" t="n">
        <v>31</v>
      </c>
      <c r="L441" s="2" t="n">
        <v>0</v>
      </c>
      <c r="M441" s="2" t="n">
        <v>0</v>
      </c>
    </row>
    <row r="442" customFormat="false" ht="15" hidden="false" customHeight="false" outlineLevel="0" collapsed="false">
      <c r="A442" s="2" t="s">
        <v>196</v>
      </c>
      <c r="B442" s="2" t="s">
        <v>64</v>
      </c>
      <c r="C442" s="2" t="s">
        <v>107</v>
      </c>
      <c r="D442" s="2" t="s">
        <v>108</v>
      </c>
      <c r="E442" s="2" t="s">
        <v>96</v>
      </c>
      <c r="F442" s="2" t="n">
        <v>31</v>
      </c>
      <c r="G442" s="2" t="n">
        <v>40</v>
      </c>
      <c r="H442" s="2" t="n">
        <f aca="false">ROUND(F442/G442*100,0)</f>
        <v>78</v>
      </c>
      <c r="I442" s="2" t="str">
        <f aca="false">IF(H442&gt;=workload_config!$B$2,"Overloaded",IF(H442&lt;workload_config!$B$3,"Underutilized","Optimal"))</f>
        <v>Optimal</v>
      </c>
      <c r="J442" s="2" t="n">
        <v>3</v>
      </c>
      <c r="K442" s="2" t="n">
        <v>31</v>
      </c>
      <c r="L442" s="2" t="n">
        <v>0</v>
      </c>
      <c r="M442" s="2" t="n">
        <v>0</v>
      </c>
    </row>
    <row r="443" customFormat="false" ht="15" hidden="false" customHeight="false" outlineLevel="0" collapsed="false">
      <c r="A443" s="2" t="s">
        <v>196</v>
      </c>
      <c r="B443" s="2" t="s">
        <v>64</v>
      </c>
      <c r="C443" s="2" t="s">
        <v>109</v>
      </c>
      <c r="D443" s="2" t="s">
        <v>110</v>
      </c>
      <c r="E443" s="2" t="s">
        <v>96</v>
      </c>
      <c r="F443" s="2" t="n">
        <v>38</v>
      </c>
      <c r="G443" s="2" t="n">
        <v>40</v>
      </c>
      <c r="H443" s="2" t="n">
        <f aca="false">ROUND(F443/G443*100,0)</f>
        <v>95</v>
      </c>
      <c r="I443" s="2" t="str">
        <f aca="false">IF(H443&gt;=workload_config!$B$2,"Overloaded",IF(H443&lt;workload_config!$B$3,"Underutilized","Optimal"))</f>
        <v>Overloaded</v>
      </c>
      <c r="J443" s="2" t="n">
        <v>4</v>
      </c>
      <c r="K443" s="2" t="n">
        <v>38</v>
      </c>
      <c r="L443" s="2" t="n">
        <v>0</v>
      </c>
      <c r="M443" s="2" t="n">
        <v>0</v>
      </c>
    </row>
    <row r="444" customFormat="false" ht="15" hidden="false" customHeight="false" outlineLevel="0" collapsed="false">
      <c r="A444" s="2" t="s">
        <v>196</v>
      </c>
      <c r="B444" s="2" t="s">
        <v>64</v>
      </c>
      <c r="C444" s="2" t="s">
        <v>111</v>
      </c>
      <c r="D444" s="2" t="s">
        <v>112</v>
      </c>
      <c r="E444" s="2" t="s">
        <v>96</v>
      </c>
      <c r="F444" s="2" t="n">
        <v>32</v>
      </c>
      <c r="G444" s="2" t="n">
        <v>40</v>
      </c>
      <c r="H444" s="2" t="n">
        <f aca="false">ROUND(F444/G444*100,0)</f>
        <v>80</v>
      </c>
      <c r="I444" s="2" t="str">
        <f aca="false">IF(H444&gt;=workload_config!$B$2,"Overloaded",IF(H444&lt;workload_config!$B$3,"Underutilized","Optimal"))</f>
        <v>Optimal</v>
      </c>
      <c r="J444" s="2" t="n">
        <v>3</v>
      </c>
      <c r="K444" s="2" t="n">
        <v>32</v>
      </c>
      <c r="L444" s="2" t="n">
        <v>0</v>
      </c>
      <c r="M444" s="2" t="n">
        <v>0</v>
      </c>
    </row>
    <row r="445" customFormat="false" ht="15" hidden="false" customHeight="false" outlineLevel="0" collapsed="false">
      <c r="A445" s="2" t="s">
        <v>196</v>
      </c>
      <c r="B445" s="2" t="s">
        <v>64</v>
      </c>
      <c r="C445" s="2" t="s">
        <v>113</v>
      </c>
      <c r="D445" s="2" t="s">
        <v>114</v>
      </c>
      <c r="E445" s="2" t="s">
        <v>96</v>
      </c>
      <c r="F445" s="2" t="n">
        <v>29</v>
      </c>
      <c r="G445" s="2" t="n">
        <v>40</v>
      </c>
      <c r="H445" s="2" t="n">
        <f aca="false">ROUND(F445/G445*100,0)</f>
        <v>73</v>
      </c>
      <c r="I445" s="2" t="str">
        <f aca="false">IF(H445&gt;=workload_config!$B$2,"Overloaded",IF(H445&lt;workload_config!$B$3,"Underutilized","Optimal"))</f>
        <v>Optimal</v>
      </c>
      <c r="J445" s="2" t="n">
        <v>3</v>
      </c>
      <c r="K445" s="2" t="n">
        <v>18</v>
      </c>
      <c r="L445" s="2" t="n">
        <v>11</v>
      </c>
      <c r="M445" s="2" t="n">
        <v>0</v>
      </c>
    </row>
    <row r="446" customFormat="false" ht="15" hidden="false" customHeight="false" outlineLevel="0" collapsed="false">
      <c r="A446" s="2" t="s">
        <v>196</v>
      </c>
      <c r="B446" s="2" t="s">
        <v>64</v>
      </c>
      <c r="C446" s="2" t="s">
        <v>115</v>
      </c>
      <c r="D446" s="2" t="s">
        <v>116</v>
      </c>
      <c r="E446" s="2" t="s">
        <v>96</v>
      </c>
      <c r="F446" s="2" t="n">
        <v>27</v>
      </c>
      <c r="G446" s="2" t="n">
        <v>40</v>
      </c>
      <c r="H446" s="2" t="n">
        <f aca="false">ROUND(F446/G446*100,0)</f>
        <v>68</v>
      </c>
      <c r="I446" s="2" t="str">
        <f aca="false">IF(H446&gt;=workload_config!$B$2,"Overloaded",IF(H446&lt;workload_config!$B$3,"Underutilized","Optimal"))</f>
        <v>Optimal</v>
      </c>
      <c r="J446" s="2" t="n">
        <v>3</v>
      </c>
      <c r="K446" s="2" t="n">
        <v>27</v>
      </c>
      <c r="L446" s="2" t="n">
        <v>0</v>
      </c>
      <c r="M446" s="2" t="n">
        <v>0</v>
      </c>
    </row>
    <row r="447" customFormat="false" ht="15" hidden="false" customHeight="false" outlineLevel="0" collapsed="false">
      <c r="A447" s="2" t="s">
        <v>196</v>
      </c>
      <c r="B447" s="2" t="s">
        <v>64</v>
      </c>
      <c r="C447" s="2" t="s">
        <v>117</v>
      </c>
      <c r="D447" s="2" t="s">
        <v>118</v>
      </c>
      <c r="E447" s="2" t="s">
        <v>119</v>
      </c>
      <c r="F447" s="2" t="n">
        <v>20</v>
      </c>
      <c r="G447" s="2" t="n">
        <v>40</v>
      </c>
      <c r="H447" s="2" t="n">
        <f aca="false">ROUND(F447/G447*100,0)</f>
        <v>50</v>
      </c>
      <c r="I447" s="2" t="str">
        <f aca="false">IF(H447&gt;=workload_config!$B$2,"Overloaded",IF(H447&lt;workload_config!$B$3,"Underutilized","Optimal"))</f>
        <v>Optimal</v>
      </c>
      <c r="J447" s="2" t="n">
        <v>2</v>
      </c>
      <c r="K447" s="2" t="n">
        <v>20</v>
      </c>
      <c r="L447" s="2" t="n">
        <v>0</v>
      </c>
      <c r="M447" s="2" t="n">
        <v>0</v>
      </c>
    </row>
    <row r="448" customFormat="false" ht="15" hidden="false" customHeight="false" outlineLevel="0" collapsed="false">
      <c r="A448" s="2" t="s">
        <v>196</v>
      </c>
      <c r="B448" s="2" t="s">
        <v>64</v>
      </c>
      <c r="C448" s="2" t="s">
        <v>120</v>
      </c>
      <c r="D448" s="2" t="s">
        <v>121</v>
      </c>
      <c r="E448" s="2" t="s">
        <v>119</v>
      </c>
      <c r="F448" s="2" t="n">
        <v>30</v>
      </c>
      <c r="G448" s="2" t="n">
        <v>40</v>
      </c>
      <c r="H448" s="2" t="n">
        <f aca="false">ROUND(F448/G448*100,0)</f>
        <v>75</v>
      </c>
      <c r="I448" s="2" t="str">
        <f aca="false">IF(H448&gt;=workload_config!$B$2,"Overloaded",IF(H448&lt;workload_config!$B$3,"Underutilized","Optimal"))</f>
        <v>Optimal</v>
      </c>
      <c r="J448" s="2" t="n">
        <v>3</v>
      </c>
      <c r="K448" s="2" t="n">
        <v>22</v>
      </c>
      <c r="L448" s="2" t="n">
        <v>8</v>
      </c>
      <c r="M448" s="2" t="n">
        <v>0</v>
      </c>
    </row>
    <row r="449" customFormat="false" ht="15" hidden="false" customHeight="false" outlineLevel="0" collapsed="false">
      <c r="A449" s="2" t="s">
        <v>196</v>
      </c>
      <c r="B449" s="2" t="s">
        <v>64</v>
      </c>
      <c r="C449" s="2" t="s">
        <v>122</v>
      </c>
      <c r="D449" s="2" t="s">
        <v>123</v>
      </c>
      <c r="E449" s="2" t="s">
        <v>119</v>
      </c>
      <c r="F449" s="2" t="n">
        <v>50</v>
      </c>
      <c r="G449" s="2" t="n">
        <v>40</v>
      </c>
      <c r="H449" s="2" t="n">
        <f aca="false">ROUND(F449/G449*100,0)</f>
        <v>125</v>
      </c>
      <c r="I449" s="2" t="str">
        <f aca="false">IF(H449&gt;=workload_config!$B$2,"Overloaded",IF(H449&lt;workload_config!$B$3,"Underutilized","Optimal"))</f>
        <v>Overloaded</v>
      </c>
      <c r="J449" s="2" t="n">
        <v>5</v>
      </c>
      <c r="K449" s="2" t="n">
        <v>40</v>
      </c>
      <c r="L449" s="2" t="n">
        <v>10</v>
      </c>
      <c r="M449" s="2" t="n">
        <v>12</v>
      </c>
    </row>
    <row r="450" customFormat="false" ht="15" hidden="false" customHeight="false" outlineLevel="0" collapsed="false">
      <c r="A450" s="2" t="s">
        <v>196</v>
      </c>
      <c r="B450" s="2" t="s">
        <v>64</v>
      </c>
      <c r="C450" s="2" t="s">
        <v>124</v>
      </c>
      <c r="D450" s="2" t="s">
        <v>125</v>
      </c>
      <c r="E450" s="2" t="s">
        <v>119</v>
      </c>
      <c r="F450" s="2" t="n">
        <v>27</v>
      </c>
      <c r="G450" s="2" t="n">
        <v>40</v>
      </c>
      <c r="H450" s="2" t="n">
        <f aca="false">ROUND(F450/G450*100,0)</f>
        <v>68</v>
      </c>
      <c r="I450" s="2" t="str">
        <f aca="false">IF(H450&gt;=workload_config!$B$2,"Overloaded",IF(H450&lt;workload_config!$B$3,"Underutilized","Optimal"))</f>
        <v>Optimal</v>
      </c>
      <c r="J450" s="2" t="n">
        <v>3</v>
      </c>
      <c r="K450" s="2" t="n">
        <v>18</v>
      </c>
      <c r="L450" s="2" t="n">
        <v>9</v>
      </c>
      <c r="M450" s="2" t="n">
        <v>0</v>
      </c>
    </row>
    <row r="451" customFormat="false" ht="15" hidden="false" customHeight="false" outlineLevel="0" collapsed="false">
      <c r="A451" s="2" t="s">
        <v>196</v>
      </c>
      <c r="B451" s="2" t="s">
        <v>64</v>
      </c>
      <c r="C451" s="2" t="s">
        <v>126</v>
      </c>
      <c r="D451" s="2" t="s">
        <v>127</v>
      </c>
      <c r="E451" s="2" t="s">
        <v>119</v>
      </c>
      <c r="F451" s="2" t="n">
        <v>39</v>
      </c>
      <c r="G451" s="2" t="n">
        <v>40</v>
      </c>
      <c r="H451" s="2" t="n">
        <f aca="false">ROUND(F451/G451*100,0)</f>
        <v>98</v>
      </c>
      <c r="I451" s="2" t="str">
        <f aca="false">IF(H451&gt;=workload_config!$B$2,"Overloaded",IF(H451&lt;workload_config!$B$3,"Underutilized","Optimal"))</f>
        <v>Overloaded</v>
      </c>
      <c r="J451" s="2" t="n">
        <v>4</v>
      </c>
      <c r="K451" s="2" t="n">
        <v>39</v>
      </c>
      <c r="L451" s="2" t="n">
        <v>0</v>
      </c>
      <c r="M451" s="2" t="n">
        <v>2</v>
      </c>
    </row>
    <row r="452" customFormat="false" ht="15" hidden="false" customHeight="false" outlineLevel="0" collapsed="false">
      <c r="A452" s="2" t="s">
        <v>196</v>
      </c>
      <c r="B452" s="2" t="s">
        <v>64</v>
      </c>
      <c r="C452" s="2" t="s">
        <v>128</v>
      </c>
      <c r="D452" s="2" t="s">
        <v>129</v>
      </c>
      <c r="E452" s="2" t="s">
        <v>119</v>
      </c>
      <c r="F452" s="2" t="n">
        <v>24</v>
      </c>
      <c r="G452" s="2" t="n">
        <v>40</v>
      </c>
      <c r="H452" s="2" t="n">
        <f aca="false">ROUND(F452/G452*100,0)</f>
        <v>60</v>
      </c>
      <c r="I452" s="2" t="str">
        <f aca="false">IF(H452&gt;=workload_config!$B$2,"Overloaded",IF(H452&lt;workload_config!$B$3,"Underutilized","Optimal"))</f>
        <v>Optimal</v>
      </c>
      <c r="J452" s="2" t="n">
        <v>2</v>
      </c>
      <c r="K452" s="2" t="n">
        <v>24</v>
      </c>
      <c r="L452" s="2" t="n">
        <v>0</v>
      </c>
      <c r="M452" s="2" t="n">
        <v>0</v>
      </c>
    </row>
    <row r="453" customFormat="false" ht="15" hidden="false" customHeight="false" outlineLevel="0" collapsed="false">
      <c r="A453" s="2" t="s">
        <v>196</v>
      </c>
      <c r="B453" s="2" t="s">
        <v>64</v>
      </c>
      <c r="C453" s="2" t="s">
        <v>130</v>
      </c>
      <c r="D453" s="2" t="s">
        <v>131</v>
      </c>
      <c r="E453" s="2" t="s">
        <v>119</v>
      </c>
      <c r="F453" s="2" t="n">
        <v>27</v>
      </c>
      <c r="G453" s="2" t="n">
        <v>40</v>
      </c>
      <c r="H453" s="2" t="n">
        <f aca="false">ROUND(F453/G453*100,0)</f>
        <v>68</v>
      </c>
      <c r="I453" s="2" t="str">
        <f aca="false">IF(H453&gt;=workload_config!$B$2,"Overloaded",IF(H453&lt;workload_config!$B$3,"Underutilized","Optimal"))</f>
        <v>Optimal</v>
      </c>
      <c r="J453" s="2" t="n">
        <v>3</v>
      </c>
      <c r="K453" s="2" t="n">
        <v>27</v>
      </c>
      <c r="L453" s="2" t="n">
        <v>0</v>
      </c>
      <c r="M453" s="2" t="n">
        <v>0</v>
      </c>
    </row>
    <row r="454" customFormat="false" ht="15" hidden="false" customHeight="false" outlineLevel="0" collapsed="false">
      <c r="A454" s="2" t="s">
        <v>196</v>
      </c>
      <c r="B454" s="2" t="s">
        <v>64</v>
      </c>
      <c r="C454" s="2" t="s">
        <v>132</v>
      </c>
      <c r="D454" s="2" t="s">
        <v>133</v>
      </c>
      <c r="E454" s="2" t="s">
        <v>119</v>
      </c>
      <c r="F454" s="2" t="n">
        <v>27</v>
      </c>
      <c r="G454" s="2" t="n">
        <v>40</v>
      </c>
      <c r="H454" s="2" t="n">
        <f aca="false">ROUND(F454/G454*100,0)</f>
        <v>68</v>
      </c>
      <c r="I454" s="2" t="str">
        <f aca="false">IF(H454&gt;=workload_config!$B$2,"Overloaded",IF(H454&lt;workload_config!$B$3,"Underutilized","Optimal"))</f>
        <v>Optimal</v>
      </c>
      <c r="J454" s="2" t="n">
        <v>3</v>
      </c>
      <c r="K454" s="2" t="n">
        <v>17</v>
      </c>
      <c r="L454" s="2" t="n">
        <v>10</v>
      </c>
      <c r="M454" s="2" t="n">
        <v>0</v>
      </c>
    </row>
    <row r="455" customFormat="false" ht="15" hidden="false" customHeight="false" outlineLevel="0" collapsed="false">
      <c r="A455" s="2" t="s">
        <v>196</v>
      </c>
      <c r="B455" s="2" t="s">
        <v>64</v>
      </c>
      <c r="C455" s="2" t="s">
        <v>134</v>
      </c>
      <c r="D455" s="2" t="s">
        <v>135</v>
      </c>
      <c r="E455" s="2" t="s">
        <v>119</v>
      </c>
      <c r="F455" s="2" t="n">
        <v>30</v>
      </c>
      <c r="G455" s="2" t="n">
        <v>40</v>
      </c>
      <c r="H455" s="2" t="n">
        <f aca="false">ROUND(F455/G455*100,0)</f>
        <v>75</v>
      </c>
      <c r="I455" s="2" t="str">
        <f aca="false">IF(H455&gt;=workload_config!$B$2,"Overloaded",IF(H455&lt;workload_config!$B$3,"Underutilized","Optimal"))</f>
        <v>Optimal</v>
      </c>
      <c r="J455" s="2" t="n">
        <v>3</v>
      </c>
      <c r="K455" s="2" t="n">
        <v>20</v>
      </c>
      <c r="L455" s="2" t="n">
        <v>10</v>
      </c>
      <c r="M455" s="2" t="n">
        <v>0</v>
      </c>
    </row>
    <row r="456" customFormat="false" ht="15" hidden="false" customHeight="false" outlineLevel="0" collapsed="false">
      <c r="A456" s="2" t="s">
        <v>196</v>
      </c>
      <c r="B456" s="2" t="s">
        <v>64</v>
      </c>
      <c r="C456" s="2" t="s">
        <v>136</v>
      </c>
      <c r="D456" s="2" t="s">
        <v>137</v>
      </c>
      <c r="E456" s="2" t="s">
        <v>119</v>
      </c>
      <c r="F456" s="2" t="n">
        <v>25</v>
      </c>
      <c r="G456" s="2" t="n">
        <v>40</v>
      </c>
      <c r="H456" s="2" t="n">
        <f aca="false">ROUND(F456/G456*100,0)</f>
        <v>63</v>
      </c>
      <c r="I456" s="2" t="str">
        <f aca="false">IF(H456&gt;=workload_config!$B$2,"Overloaded",IF(H456&lt;workload_config!$B$3,"Underutilized","Optimal"))</f>
        <v>Optimal</v>
      </c>
      <c r="J456" s="2" t="n">
        <v>2</v>
      </c>
      <c r="K456" s="2" t="n">
        <v>25</v>
      </c>
      <c r="L456" s="2" t="n">
        <v>0</v>
      </c>
      <c r="M456" s="2" t="n">
        <v>0</v>
      </c>
    </row>
    <row r="457" customFormat="false" ht="15" hidden="false" customHeight="false" outlineLevel="0" collapsed="false">
      <c r="A457" s="2" t="s">
        <v>196</v>
      </c>
      <c r="B457" s="2" t="s">
        <v>64</v>
      </c>
      <c r="C457" s="2" t="s">
        <v>138</v>
      </c>
      <c r="D457" s="2" t="s">
        <v>139</v>
      </c>
      <c r="E457" s="2" t="s">
        <v>119</v>
      </c>
      <c r="F457" s="2" t="n">
        <v>14</v>
      </c>
      <c r="G457" s="2" t="n">
        <v>40</v>
      </c>
      <c r="H457" s="2" t="n">
        <f aca="false">ROUND(F457/G457*100,0)</f>
        <v>35</v>
      </c>
      <c r="I457" s="2" t="str">
        <f aca="false">IF(H457&gt;=workload_config!$B$2,"Overloaded",IF(H457&lt;workload_config!$B$3,"Underutilized","Optimal"))</f>
        <v>Underutilized</v>
      </c>
      <c r="J457" s="2" t="n">
        <v>1</v>
      </c>
      <c r="K457" s="2" t="n">
        <v>14</v>
      </c>
      <c r="L457" s="2" t="n">
        <v>0</v>
      </c>
      <c r="M457" s="2" t="n">
        <v>0</v>
      </c>
    </row>
    <row r="458" customFormat="false" ht="15" hidden="false" customHeight="false" outlineLevel="0" collapsed="false">
      <c r="A458" s="2" t="s">
        <v>196</v>
      </c>
      <c r="B458" s="2" t="s">
        <v>64</v>
      </c>
      <c r="C458" s="2" t="s">
        <v>140</v>
      </c>
      <c r="D458" s="2" t="s">
        <v>141</v>
      </c>
      <c r="E458" s="2" t="s">
        <v>119</v>
      </c>
      <c r="F458" s="2" t="n">
        <v>32</v>
      </c>
      <c r="G458" s="2" t="n">
        <v>40</v>
      </c>
      <c r="H458" s="2" t="n">
        <f aca="false">ROUND(F458/G458*100,0)</f>
        <v>80</v>
      </c>
      <c r="I458" s="2" t="str">
        <f aca="false">IF(H458&gt;=workload_config!$B$2,"Overloaded",IF(H458&lt;workload_config!$B$3,"Underutilized","Optimal"))</f>
        <v>Optimal</v>
      </c>
      <c r="J458" s="2" t="n">
        <v>3</v>
      </c>
      <c r="K458" s="2" t="n">
        <v>24</v>
      </c>
      <c r="L458" s="2" t="n">
        <v>8</v>
      </c>
      <c r="M458" s="2" t="n">
        <v>0</v>
      </c>
    </row>
    <row r="459" customFormat="false" ht="15" hidden="false" customHeight="false" outlineLevel="0" collapsed="false">
      <c r="A459" s="2" t="s">
        <v>196</v>
      </c>
      <c r="B459" s="2" t="s">
        <v>64</v>
      </c>
      <c r="C459" s="2" t="s">
        <v>142</v>
      </c>
      <c r="D459" s="2" t="s">
        <v>143</v>
      </c>
      <c r="E459" s="2" t="s">
        <v>119</v>
      </c>
      <c r="F459" s="2" t="n">
        <v>29</v>
      </c>
      <c r="G459" s="2" t="n">
        <v>40</v>
      </c>
      <c r="H459" s="2" t="n">
        <f aca="false">ROUND(F459/G459*100,0)</f>
        <v>73</v>
      </c>
      <c r="I459" s="2" t="str">
        <f aca="false">IF(H459&gt;=workload_config!$B$2,"Overloaded",IF(H459&lt;workload_config!$B$3,"Underutilized","Optimal"))</f>
        <v>Optimal</v>
      </c>
      <c r="J459" s="2" t="n">
        <v>3</v>
      </c>
      <c r="K459" s="2" t="n">
        <v>18</v>
      </c>
      <c r="L459" s="2" t="n">
        <v>11</v>
      </c>
      <c r="M459" s="2" t="n">
        <v>0</v>
      </c>
    </row>
    <row r="460" customFormat="false" ht="15" hidden="false" customHeight="false" outlineLevel="0" collapsed="false">
      <c r="A460" s="2" t="s">
        <v>196</v>
      </c>
      <c r="B460" s="2" t="s">
        <v>64</v>
      </c>
      <c r="C460" s="2" t="s">
        <v>144</v>
      </c>
      <c r="D460" s="2" t="s">
        <v>145</v>
      </c>
      <c r="E460" s="2" t="s">
        <v>146</v>
      </c>
      <c r="F460" s="2" t="n">
        <v>14</v>
      </c>
      <c r="G460" s="2" t="n">
        <v>40</v>
      </c>
      <c r="H460" s="2" t="n">
        <f aca="false">ROUND(F460/G460*100,0)</f>
        <v>35</v>
      </c>
      <c r="I460" s="2" t="str">
        <f aca="false">IF(H460&gt;=workload_config!$B$2,"Overloaded",IF(H460&lt;workload_config!$B$3,"Underutilized","Optimal"))</f>
        <v>Underutilized</v>
      </c>
      <c r="J460" s="2" t="n">
        <v>1</v>
      </c>
      <c r="K460" s="2" t="n">
        <v>14</v>
      </c>
      <c r="L460" s="2" t="n">
        <v>0</v>
      </c>
      <c r="M460" s="2" t="n">
        <v>0</v>
      </c>
    </row>
    <row r="461" customFormat="false" ht="15" hidden="false" customHeight="false" outlineLevel="0" collapsed="false">
      <c r="A461" s="2" t="s">
        <v>196</v>
      </c>
      <c r="B461" s="2" t="s">
        <v>64</v>
      </c>
      <c r="C461" s="2" t="s">
        <v>147</v>
      </c>
      <c r="D461" s="2" t="s">
        <v>148</v>
      </c>
      <c r="E461" s="2" t="s">
        <v>146</v>
      </c>
      <c r="F461" s="2" t="n">
        <v>16</v>
      </c>
      <c r="G461" s="2" t="n">
        <v>40</v>
      </c>
      <c r="H461" s="2" t="n">
        <f aca="false">ROUND(F461/G461*100,0)</f>
        <v>40</v>
      </c>
      <c r="I461" s="2" t="str">
        <f aca="false">IF(H461&gt;=workload_config!$B$2,"Overloaded",IF(H461&lt;workload_config!$B$3,"Underutilized","Optimal"))</f>
        <v>Underutilized</v>
      </c>
      <c r="J461" s="2" t="n">
        <v>2</v>
      </c>
      <c r="K461" s="2" t="n">
        <v>5</v>
      </c>
      <c r="L461" s="2" t="n">
        <v>11</v>
      </c>
      <c r="M461" s="2" t="n">
        <v>0</v>
      </c>
    </row>
    <row r="462" customFormat="false" ht="15" hidden="false" customHeight="false" outlineLevel="0" collapsed="false">
      <c r="A462" s="2" t="s">
        <v>196</v>
      </c>
      <c r="B462" s="2" t="s">
        <v>64</v>
      </c>
      <c r="C462" s="2" t="s">
        <v>149</v>
      </c>
      <c r="D462" s="2" t="s">
        <v>150</v>
      </c>
      <c r="E462" s="2" t="s">
        <v>146</v>
      </c>
      <c r="F462" s="2" t="n">
        <v>27</v>
      </c>
      <c r="G462" s="2" t="n">
        <v>40</v>
      </c>
      <c r="H462" s="2" t="n">
        <f aca="false">ROUND(F462/G462*100,0)</f>
        <v>68</v>
      </c>
      <c r="I462" s="2" t="str">
        <f aca="false">IF(H462&gt;=workload_config!$B$2,"Overloaded",IF(H462&lt;workload_config!$B$3,"Underutilized","Optimal"))</f>
        <v>Optimal</v>
      </c>
      <c r="J462" s="2" t="n">
        <v>3</v>
      </c>
      <c r="K462" s="2" t="n">
        <v>20</v>
      </c>
      <c r="L462" s="2" t="n">
        <v>7</v>
      </c>
      <c r="M462" s="2" t="n">
        <v>0</v>
      </c>
    </row>
    <row r="463" customFormat="false" ht="15" hidden="false" customHeight="false" outlineLevel="0" collapsed="false">
      <c r="A463" s="2" t="s">
        <v>196</v>
      </c>
      <c r="B463" s="2" t="s">
        <v>64</v>
      </c>
      <c r="C463" s="2" t="s">
        <v>151</v>
      </c>
      <c r="D463" s="2" t="s">
        <v>152</v>
      </c>
      <c r="E463" s="2" t="s">
        <v>146</v>
      </c>
      <c r="F463" s="2" t="n">
        <v>30</v>
      </c>
      <c r="G463" s="2" t="n">
        <v>40</v>
      </c>
      <c r="H463" s="2" t="n">
        <f aca="false">ROUND(F463/G463*100,0)</f>
        <v>75</v>
      </c>
      <c r="I463" s="2" t="str">
        <f aca="false">IF(H463&gt;=workload_config!$B$2,"Overloaded",IF(H463&lt;workload_config!$B$3,"Underutilized","Optimal"))</f>
        <v>Optimal</v>
      </c>
      <c r="J463" s="2" t="n">
        <v>3</v>
      </c>
      <c r="K463" s="2" t="n">
        <v>30</v>
      </c>
      <c r="L463" s="2" t="n">
        <v>0</v>
      </c>
      <c r="M463" s="2" t="n">
        <v>0</v>
      </c>
    </row>
    <row r="464" customFormat="false" ht="15" hidden="false" customHeight="false" outlineLevel="0" collapsed="false">
      <c r="A464" s="2" t="s">
        <v>196</v>
      </c>
      <c r="B464" s="2" t="s">
        <v>64</v>
      </c>
      <c r="C464" s="2" t="s">
        <v>153</v>
      </c>
      <c r="D464" s="2" t="s">
        <v>154</v>
      </c>
      <c r="E464" s="2" t="s">
        <v>146</v>
      </c>
      <c r="F464" s="2" t="n">
        <v>24</v>
      </c>
      <c r="G464" s="2" t="n">
        <v>40</v>
      </c>
      <c r="H464" s="2" t="n">
        <f aca="false">ROUND(F464/G464*100,0)</f>
        <v>60</v>
      </c>
      <c r="I464" s="2" t="str">
        <f aca="false">IF(H464&gt;=workload_config!$B$2,"Overloaded",IF(H464&lt;workload_config!$B$3,"Underutilized","Optimal"))</f>
        <v>Optimal</v>
      </c>
      <c r="J464" s="2" t="n">
        <v>2</v>
      </c>
      <c r="K464" s="2" t="n">
        <v>24</v>
      </c>
      <c r="L464" s="2" t="n">
        <v>0</v>
      </c>
      <c r="M464" s="2" t="n">
        <v>0</v>
      </c>
    </row>
    <row r="465" customFormat="false" ht="15" hidden="false" customHeight="false" outlineLevel="0" collapsed="false">
      <c r="A465" s="2" t="s">
        <v>196</v>
      </c>
      <c r="B465" s="2" t="s">
        <v>64</v>
      </c>
      <c r="C465" s="2" t="s">
        <v>155</v>
      </c>
      <c r="D465" s="2" t="s">
        <v>156</v>
      </c>
      <c r="E465" s="2" t="s">
        <v>146</v>
      </c>
      <c r="F465" s="2" t="n">
        <v>40</v>
      </c>
      <c r="G465" s="2" t="n">
        <v>40</v>
      </c>
      <c r="H465" s="2" t="n">
        <f aca="false">ROUND(F465/G465*100,0)</f>
        <v>100</v>
      </c>
      <c r="I465" s="2" t="str">
        <f aca="false">IF(H465&gt;=workload_config!$B$2,"Overloaded",IF(H465&lt;workload_config!$B$3,"Underutilized","Optimal"))</f>
        <v>Overloaded</v>
      </c>
      <c r="J465" s="2" t="n">
        <v>4</v>
      </c>
      <c r="K465" s="2" t="n">
        <v>40</v>
      </c>
      <c r="L465" s="2" t="n">
        <v>0</v>
      </c>
      <c r="M465" s="2" t="n">
        <v>2</v>
      </c>
    </row>
    <row r="466" customFormat="false" ht="15" hidden="false" customHeight="false" outlineLevel="0" collapsed="false">
      <c r="A466" s="2" t="s">
        <v>196</v>
      </c>
      <c r="B466" s="2" t="s">
        <v>64</v>
      </c>
      <c r="C466" s="2" t="s">
        <v>157</v>
      </c>
      <c r="D466" s="2" t="s">
        <v>158</v>
      </c>
      <c r="E466" s="2" t="s">
        <v>146</v>
      </c>
      <c r="F466" s="2" t="n">
        <v>27</v>
      </c>
      <c r="G466" s="2" t="n">
        <v>40</v>
      </c>
      <c r="H466" s="2" t="n">
        <f aca="false">ROUND(F466/G466*100,0)</f>
        <v>68</v>
      </c>
      <c r="I466" s="2" t="str">
        <f aca="false">IF(H466&gt;=workload_config!$B$2,"Overloaded",IF(H466&lt;workload_config!$B$3,"Underutilized","Optimal"))</f>
        <v>Optimal</v>
      </c>
      <c r="J466" s="2" t="n">
        <v>3</v>
      </c>
      <c r="K466" s="2" t="n">
        <v>27</v>
      </c>
      <c r="L466" s="2" t="n">
        <v>0</v>
      </c>
      <c r="M466" s="2" t="n">
        <v>0</v>
      </c>
    </row>
    <row r="467" customFormat="false" ht="15" hidden="false" customHeight="false" outlineLevel="0" collapsed="false">
      <c r="A467" s="2" t="s">
        <v>196</v>
      </c>
      <c r="B467" s="2" t="s">
        <v>64</v>
      </c>
      <c r="C467" s="2" t="s">
        <v>159</v>
      </c>
      <c r="D467" s="2" t="s">
        <v>160</v>
      </c>
      <c r="E467" s="2" t="s">
        <v>146</v>
      </c>
      <c r="F467" s="2" t="n">
        <v>30</v>
      </c>
      <c r="G467" s="2" t="n">
        <v>40</v>
      </c>
      <c r="H467" s="2" t="n">
        <f aca="false">ROUND(F467/G467*100,0)</f>
        <v>75</v>
      </c>
      <c r="I467" s="2" t="str">
        <f aca="false">IF(H467&gt;=workload_config!$B$2,"Overloaded",IF(H467&lt;workload_config!$B$3,"Underutilized","Optimal"))</f>
        <v>Optimal</v>
      </c>
      <c r="J467" s="2" t="n">
        <v>3</v>
      </c>
      <c r="K467" s="2" t="n">
        <v>30</v>
      </c>
      <c r="L467" s="2" t="n">
        <v>0</v>
      </c>
      <c r="M467" s="2" t="n">
        <v>0</v>
      </c>
    </row>
    <row r="468" customFormat="false" ht="15" hidden="false" customHeight="false" outlineLevel="0" collapsed="false">
      <c r="A468" s="2" t="s">
        <v>196</v>
      </c>
      <c r="B468" s="2" t="s">
        <v>64</v>
      </c>
      <c r="C468" s="2" t="s">
        <v>161</v>
      </c>
      <c r="D468" s="2" t="s">
        <v>162</v>
      </c>
      <c r="E468" s="2" t="s">
        <v>146</v>
      </c>
      <c r="F468" s="2" t="n">
        <v>25</v>
      </c>
      <c r="G468" s="2" t="n">
        <v>40</v>
      </c>
      <c r="H468" s="2" t="n">
        <f aca="false">ROUND(F468/G468*100,0)</f>
        <v>63</v>
      </c>
      <c r="I468" s="2" t="str">
        <f aca="false">IF(H468&gt;=workload_config!$B$2,"Overloaded",IF(H468&lt;workload_config!$B$3,"Underutilized","Optimal"))</f>
        <v>Optimal</v>
      </c>
      <c r="J468" s="2" t="n">
        <v>2</v>
      </c>
      <c r="K468" s="2" t="n">
        <v>25</v>
      </c>
      <c r="L468" s="2" t="n">
        <v>0</v>
      </c>
      <c r="M468" s="2" t="n">
        <v>0</v>
      </c>
    </row>
    <row r="469" customFormat="false" ht="15" hidden="false" customHeight="false" outlineLevel="0" collapsed="false">
      <c r="A469" s="2" t="s">
        <v>196</v>
      </c>
      <c r="B469" s="2" t="s">
        <v>64</v>
      </c>
      <c r="C469" s="2" t="s">
        <v>163</v>
      </c>
      <c r="D469" s="2" t="s">
        <v>164</v>
      </c>
      <c r="E469" s="2" t="s">
        <v>146</v>
      </c>
      <c r="F469" s="2" t="n">
        <v>32</v>
      </c>
      <c r="G469" s="2" t="n">
        <v>40</v>
      </c>
      <c r="H469" s="2" t="n">
        <f aca="false">ROUND(F469/G469*100,0)</f>
        <v>80</v>
      </c>
      <c r="I469" s="2" t="str">
        <f aca="false">IF(H469&gt;=workload_config!$B$2,"Overloaded",IF(H469&lt;workload_config!$B$3,"Underutilized","Optimal"))</f>
        <v>Optimal</v>
      </c>
      <c r="J469" s="2" t="n">
        <v>3</v>
      </c>
      <c r="K469" s="2" t="n">
        <v>32</v>
      </c>
      <c r="L469" s="2" t="n">
        <v>0</v>
      </c>
      <c r="M469" s="2" t="n">
        <v>0</v>
      </c>
    </row>
    <row r="470" customFormat="false" ht="15" hidden="false" customHeight="false" outlineLevel="0" collapsed="false">
      <c r="A470" s="2" t="s">
        <v>196</v>
      </c>
      <c r="B470" s="2" t="s">
        <v>64</v>
      </c>
      <c r="C470" s="2" t="s">
        <v>165</v>
      </c>
      <c r="D470" s="2" t="s">
        <v>166</v>
      </c>
      <c r="E470" s="2" t="s">
        <v>146</v>
      </c>
      <c r="F470" s="2" t="n">
        <v>29</v>
      </c>
      <c r="G470" s="2" t="n">
        <v>40</v>
      </c>
      <c r="H470" s="2" t="n">
        <f aca="false">ROUND(F470/G470*100,0)</f>
        <v>73</v>
      </c>
      <c r="I470" s="2" t="str">
        <f aca="false">IF(H470&gt;=workload_config!$B$2,"Overloaded",IF(H470&lt;workload_config!$B$3,"Underutilized","Optimal"))</f>
        <v>Optimal</v>
      </c>
      <c r="J470" s="2" t="n">
        <v>3</v>
      </c>
      <c r="K470" s="2" t="n">
        <v>29</v>
      </c>
      <c r="L470" s="2" t="n">
        <v>0</v>
      </c>
      <c r="M470" s="2" t="n">
        <v>0</v>
      </c>
    </row>
    <row r="471" customFormat="false" ht="15" hidden="false" customHeight="false" outlineLevel="0" collapsed="false">
      <c r="A471" s="2" t="s">
        <v>196</v>
      </c>
      <c r="B471" s="2" t="s">
        <v>64</v>
      </c>
      <c r="C471" s="2" t="s">
        <v>167</v>
      </c>
      <c r="D471" s="2" t="s">
        <v>168</v>
      </c>
      <c r="E471" s="2" t="s">
        <v>169</v>
      </c>
      <c r="F471" s="2" t="n">
        <v>35</v>
      </c>
      <c r="G471" s="2" t="n">
        <v>40</v>
      </c>
      <c r="H471" s="2" t="n">
        <f aca="false">ROUND(F471/G471*100,0)</f>
        <v>88</v>
      </c>
      <c r="I471" s="2" t="str">
        <f aca="false">IF(H471&gt;=workload_config!$B$2,"Overloaded",IF(H471&lt;workload_config!$B$3,"Underutilized","Optimal"))</f>
        <v>Overloaded</v>
      </c>
      <c r="J471" s="2" t="n">
        <v>4</v>
      </c>
      <c r="K471" s="2" t="n">
        <v>17</v>
      </c>
      <c r="L471" s="2" t="n">
        <v>18</v>
      </c>
      <c r="M471" s="2" t="n">
        <v>0</v>
      </c>
    </row>
    <row r="472" customFormat="false" ht="15" hidden="false" customHeight="false" outlineLevel="0" collapsed="false">
      <c r="A472" s="2" t="s">
        <v>196</v>
      </c>
      <c r="B472" s="2" t="s">
        <v>64</v>
      </c>
      <c r="C472" s="2" t="s">
        <v>170</v>
      </c>
      <c r="D472" s="2" t="s">
        <v>171</v>
      </c>
      <c r="E472" s="2" t="s">
        <v>169</v>
      </c>
      <c r="F472" s="2" t="n">
        <v>26</v>
      </c>
      <c r="G472" s="2" t="n">
        <v>40</v>
      </c>
      <c r="H472" s="2" t="n">
        <f aca="false">ROUND(F472/G472*100,0)</f>
        <v>65</v>
      </c>
      <c r="I472" s="2" t="str">
        <f aca="false">IF(H472&gt;=workload_config!$B$2,"Overloaded",IF(H472&lt;workload_config!$B$3,"Underutilized","Optimal"))</f>
        <v>Optimal</v>
      </c>
      <c r="J472" s="2" t="n">
        <v>3</v>
      </c>
      <c r="K472" s="2" t="n">
        <v>26</v>
      </c>
      <c r="L472" s="2" t="n">
        <v>0</v>
      </c>
      <c r="M472" s="2" t="n">
        <v>0</v>
      </c>
    </row>
    <row r="473" customFormat="false" ht="15" hidden="false" customHeight="false" outlineLevel="0" collapsed="false">
      <c r="A473" s="2" t="s">
        <v>196</v>
      </c>
      <c r="B473" s="2" t="s">
        <v>64</v>
      </c>
      <c r="C473" s="2" t="s">
        <v>172</v>
      </c>
      <c r="D473" s="2" t="s">
        <v>173</v>
      </c>
      <c r="E473" s="2" t="s">
        <v>169</v>
      </c>
      <c r="F473" s="2" t="n">
        <v>32</v>
      </c>
      <c r="G473" s="2" t="n">
        <v>40</v>
      </c>
      <c r="H473" s="2" t="n">
        <f aca="false">ROUND(F473/G473*100,0)</f>
        <v>80</v>
      </c>
      <c r="I473" s="2" t="str">
        <f aca="false">IF(H473&gt;=workload_config!$B$2,"Overloaded",IF(H473&lt;workload_config!$B$3,"Underutilized","Optimal"))</f>
        <v>Optimal</v>
      </c>
      <c r="J473" s="2" t="n">
        <v>3</v>
      </c>
      <c r="K473" s="2" t="n">
        <v>32</v>
      </c>
      <c r="L473" s="2" t="n">
        <v>0</v>
      </c>
      <c r="M473" s="2" t="n">
        <v>0</v>
      </c>
    </row>
    <row r="474" customFormat="false" ht="15" hidden="false" customHeight="false" outlineLevel="0" collapsed="false">
      <c r="A474" s="2" t="s">
        <v>196</v>
      </c>
      <c r="B474" s="2" t="s">
        <v>64</v>
      </c>
      <c r="C474" s="2" t="s">
        <v>174</v>
      </c>
      <c r="D474" s="2" t="s">
        <v>175</v>
      </c>
      <c r="E474" s="2" t="s">
        <v>169</v>
      </c>
      <c r="F474" s="2" t="n">
        <v>27</v>
      </c>
      <c r="G474" s="2" t="n">
        <v>40</v>
      </c>
      <c r="H474" s="2" t="n">
        <f aca="false">ROUND(F474/G474*100,0)</f>
        <v>68</v>
      </c>
      <c r="I474" s="2" t="str">
        <f aca="false">IF(H474&gt;=workload_config!$B$2,"Overloaded",IF(H474&lt;workload_config!$B$3,"Underutilized","Optimal"))</f>
        <v>Optimal</v>
      </c>
      <c r="J474" s="2" t="n">
        <v>3</v>
      </c>
      <c r="K474" s="2" t="n">
        <v>16</v>
      </c>
      <c r="L474" s="2" t="n">
        <v>11</v>
      </c>
      <c r="M474" s="2" t="n">
        <v>0</v>
      </c>
    </row>
    <row r="475" customFormat="false" ht="15" hidden="false" customHeight="false" outlineLevel="0" collapsed="false">
      <c r="A475" s="2" t="s">
        <v>196</v>
      </c>
      <c r="B475" s="2" t="s">
        <v>64</v>
      </c>
      <c r="C475" s="2" t="s">
        <v>176</v>
      </c>
      <c r="D475" s="2" t="s">
        <v>177</v>
      </c>
      <c r="E475" s="2" t="s">
        <v>169</v>
      </c>
      <c r="F475" s="2" t="n">
        <v>27</v>
      </c>
      <c r="G475" s="2" t="n">
        <v>40</v>
      </c>
      <c r="H475" s="2" t="n">
        <f aca="false">ROUND(F475/G475*100,0)</f>
        <v>68</v>
      </c>
      <c r="I475" s="2" t="str">
        <f aca="false">IF(H475&gt;=workload_config!$B$2,"Overloaded",IF(H475&lt;workload_config!$B$3,"Underutilized","Optimal"))</f>
        <v>Optimal</v>
      </c>
      <c r="J475" s="2" t="n">
        <v>3</v>
      </c>
      <c r="K475" s="2" t="n">
        <v>27</v>
      </c>
      <c r="L475" s="2" t="n">
        <v>0</v>
      </c>
      <c r="M475" s="2" t="n">
        <v>0</v>
      </c>
    </row>
    <row r="476" customFormat="false" ht="15" hidden="false" customHeight="false" outlineLevel="0" collapsed="false">
      <c r="A476" s="2" t="s">
        <v>196</v>
      </c>
      <c r="B476" s="2" t="s">
        <v>64</v>
      </c>
      <c r="C476" s="2" t="s">
        <v>178</v>
      </c>
      <c r="D476" s="2" t="s">
        <v>179</v>
      </c>
      <c r="E476" s="2" t="s">
        <v>169</v>
      </c>
      <c r="F476" s="2" t="n">
        <v>16</v>
      </c>
      <c r="G476" s="2" t="n">
        <v>40</v>
      </c>
      <c r="H476" s="2" t="n">
        <f aca="false">ROUND(F476/G476*100,0)</f>
        <v>40</v>
      </c>
      <c r="I476" s="2" t="str">
        <f aca="false">IF(H476&gt;=workload_config!$B$2,"Overloaded",IF(H476&lt;workload_config!$B$3,"Underutilized","Optimal"))</f>
        <v>Underutilized</v>
      </c>
      <c r="J476" s="2" t="n">
        <v>2</v>
      </c>
      <c r="K476" s="2" t="n">
        <v>6</v>
      </c>
      <c r="L476" s="2" t="n">
        <v>10</v>
      </c>
      <c r="M476" s="2" t="n">
        <v>0</v>
      </c>
    </row>
    <row r="477" customFormat="false" ht="15" hidden="false" customHeight="false" outlineLevel="0" collapsed="false">
      <c r="A477" s="2" t="s">
        <v>196</v>
      </c>
      <c r="B477" s="2" t="s">
        <v>64</v>
      </c>
      <c r="C477" s="2" t="s">
        <v>180</v>
      </c>
      <c r="D477" s="2" t="s">
        <v>181</v>
      </c>
      <c r="E477" s="2" t="s">
        <v>169</v>
      </c>
      <c r="F477" s="2" t="n">
        <v>21</v>
      </c>
      <c r="G477" s="2" t="n">
        <v>32</v>
      </c>
      <c r="H477" s="2" t="n">
        <f aca="false">ROUND(F477/G477*100,0)</f>
        <v>66</v>
      </c>
      <c r="I477" s="2" t="str">
        <f aca="false">IF(H477&gt;=workload_config!$B$2,"Overloaded",IF(H477&lt;workload_config!$B$3,"Underutilized","Optimal"))</f>
        <v>Optimal</v>
      </c>
      <c r="J477" s="2" t="n">
        <v>2</v>
      </c>
      <c r="K477" s="2" t="n">
        <v>21</v>
      </c>
      <c r="L477" s="2" t="n">
        <v>0</v>
      </c>
      <c r="M477" s="2" t="n">
        <v>0</v>
      </c>
    </row>
    <row r="478" customFormat="false" ht="15" hidden="false" customHeight="false" outlineLevel="0" collapsed="false">
      <c r="A478" s="2" t="s">
        <v>196</v>
      </c>
      <c r="B478" s="2" t="s">
        <v>64</v>
      </c>
      <c r="C478" s="2" t="s">
        <v>182</v>
      </c>
      <c r="D478" s="2" t="s">
        <v>183</v>
      </c>
      <c r="E478" s="2" t="s">
        <v>169</v>
      </c>
      <c r="F478" s="2" t="n">
        <v>17</v>
      </c>
      <c r="G478" s="2" t="n">
        <v>20</v>
      </c>
      <c r="H478" s="2" t="n">
        <f aca="false">ROUND(F478/G478*100,0)</f>
        <v>85</v>
      </c>
      <c r="I478" s="2" t="str">
        <f aca="false">IF(H478&gt;=workload_config!$B$2,"Overloaded",IF(H478&lt;workload_config!$B$3,"Underutilized","Optimal"))</f>
        <v>Optimal</v>
      </c>
      <c r="J478" s="2" t="n">
        <v>2</v>
      </c>
      <c r="K478" s="2" t="n">
        <v>17</v>
      </c>
      <c r="L478" s="2" t="n">
        <v>0</v>
      </c>
      <c r="M478" s="2" t="n">
        <v>0</v>
      </c>
    </row>
    <row r="479" customFormat="false" ht="15" hidden="false" customHeight="false" outlineLevel="0" collapsed="false">
      <c r="A479" s="2" t="s">
        <v>196</v>
      </c>
      <c r="B479" s="2" t="s">
        <v>64</v>
      </c>
      <c r="C479" s="2" t="s">
        <v>184</v>
      </c>
      <c r="D479" s="2" t="s">
        <v>185</v>
      </c>
      <c r="E479" s="2" t="s">
        <v>169</v>
      </c>
      <c r="F479" s="2" t="n">
        <v>25</v>
      </c>
      <c r="G479" s="2" t="n">
        <v>32</v>
      </c>
      <c r="H479" s="2" t="n">
        <f aca="false">ROUND(F479/G479*100,0)</f>
        <v>78</v>
      </c>
      <c r="I479" s="2" t="str">
        <f aca="false">IF(H479&gt;=workload_config!$B$2,"Overloaded",IF(H479&lt;workload_config!$B$3,"Underutilized","Optimal"))</f>
        <v>Optimal</v>
      </c>
      <c r="J479" s="2" t="n">
        <v>2</v>
      </c>
      <c r="K479" s="2" t="n">
        <v>25</v>
      </c>
      <c r="L479" s="2" t="n">
        <v>0</v>
      </c>
      <c r="M479" s="2" t="n">
        <v>0</v>
      </c>
    </row>
    <row r="480" customFormat="false" ht="15" hidden="false" customHeight="false" outlineLevel="0" collapsed="false">
      <c r="A480" s="2" t="s">
        <v>196</v>
      </c>
      <c r="B480" s="2" t="s">
        <v>64</v>
      </c>
      <c r="C480" s="2" t="s">
        <v>186</v>
      </c>
      <c r="D480" s="2" t="s">
        <v>187</v>
      </c>
      <c r="E480" s="2" t="s">
        <v>169</v>
      </c>
      <c r="F480" s="2" t="n">
        <v>30</v>
      </c>
      <c r="G480" s="2" t="n">
        <v>40</v>
      </c>
      <c r="H480" s="2" t="n">
        <f aca="false">ROUND(F480/G480*100,0)</f>
        <v>75</v>
      </c>
      <c r="I480" s="2" t="str">
        <f aca="false">IF(H480&gt;=workload_config!$B$2,"Overloaded",IF(H480&lt;workload_config!$B$3,"Underutilized","Optimal"))</f>
        <v>Optimal</v>
      </c>
      <c r="J480" s="2" t="n">
        <v>3</v>
      </c>
      <c r="K480" s="2" t="n">
        <v>19</v>
      </c>
      <c r="L480" s="2" t="n">
        <v>11</v>
      </c>
      <c r="M480" s="2" t="n">
        <v>0</v>
      </c>
    </row>
    <row r="481" customFormat="false" ht="15" hidden="false" customHeight="false" outlineLevel="0" collapsed="false">
      <c r="A481" s="2" t="s">
        <v>196</v>
      </c>
      <c r="B481" s="2" t="s">
        <v>64</v>
      </c>
      <c r="C481" s="2" t="s">
        <v>188</v>
      </c>
      <c r="D481" s="2" t="s">
        <v>189</v>
      </c>
      <c r="E481" s="2" t="s">
        <v>169</v>
      </c>
      <c r="F481" s="2" t="n">
        <v>25</v>
      </c>
      <c r="G481" s="2" t="n">
        <v>40</v>
      </c>
      <c r="H481" s="2" t="n">
        <f aca="false">ROUND(F481/G481*100,0)</f>
        <v>63</v>
      </c>
      <c r="I481" s="2" t="str">
        <f aca="false">IF(H481&gt;=workload_config!$B$2,"Overloaded",IF(H481&lt;workload_config!$B$3,"Underutilized","Optimal"))</f>
        <v>Optimal</v>
      </c>
      <c r="J481" s="2" t="n">
        <v>2</v>
      </c>
      <c r="K481" s="2" t="n">
        <v>12</v>
      </c>
      <c r="L481" s="2" t="n">
        <v>13</v>
      </c>
      <c r="M481" s="2" t="n">
        <v>0</v>
      </c>
    </row>
    <row r="482" customFormat="false" ht="15" hidden="false" customHeight="false" outlineLevel="0" collapsed="false">
      <c r="A482" s="2" t="s">
        <v>46</v>
      </c>
      <c r="B482" s="2" t="s">
        <v>197</v>
      </c>
      <c r="C482" s="2" t="s">
        <v>65</v>
      </c>
      <c r="D482" s="2" t="s">
        <v>66</v>
      </c>
      <c r="E482" s="2" t="s">
        <v>67</v>
      </c>
      <c r="F482" s="2" t="n">
        <v>47</v>
      </c>
      <c r="G482" s="2" t="n">
        <v>40</v>
      </c>
      <c r="H482" s="2" t="n">
        <f aca="false">ROUND(F482/G482*100,0)</f>
        <v>118</v>
      </c>
      <c r="I482" s="2" t="str">
        <f aca="false">IF(H482&gt;=workload_config!$B$2,"Overloaded",IF(H482&lt;workload_config!$B$3,"Underutilized","Optimal"))</f>
        <v>Overloaded</v>
      </c>
      <c r="J482" s="2" t="n">
        <v>5</v>
      </c>
      <c r="K482" s="2" t="n">
        <v>27</v>
      </c>
      <c r="L482" s="2" t="n">
        <v>20</v>
      </c>
      <c r="M482" s="2" t="n">
        <v>0</v>
      </c>
    </row>
    <row r="483" customFormat="false" ht="15" hidden="false" customHeight="false" outlineLevel="0" collapsed="false">
      <c r="A483" s="2" t="s">
        <v>46</v>
      </c>
      <c r="B483" s="2" t="s">
        <v>197</v>
      </c>
      <c r="C483" s="2" t="s">
        <v>68</v>
      </c>
      <c r="D483" s="2" t="s">
        <v>69</v>
      </c>
      <c r="E483" s="2" t="s">
        <v>67</v>
      </c>
      <c r="F483" s="2" t="n">
        <v>16</v>
      </c>
      <c r="G483" s="2" t="n">
        <v>40</v>
      </c>
      <c r="H483" s="2" t="n">
        <f aca="false">ROUND(F483/G483*100,0)</f>
        <v>40</v>
      </c>
      <c r="I483" s="2" t="str">
        <f aca="false">IF(H483&gt;=workload_config!$B$2,"Overloaded",IF(H483&lt;workload_config!$B$3,"Underutilized","Optimal"))</f>
        <v>Underutilized</v>
      </c>
      <c r="J483" s="2" t="n">
        <v>2</v>
      </c>
      <c r="K483" s="2" t="n">
        <v>16</v>
      </c>
      <c r="L483" s="2" t="n">
        <v>0</v>
      </c>
      <c r="M483" s="2" t="n">
        <v>0</v>
      </c>
    </row>
    <row r="484" customFormat="false" ht="15" hidden="false" customHeight="false" outlineLevel="0" collapsed="false">
      <c r="A484" s="2" t="s">
        <v>46</v>
      </c>
      <c r="B484" s="2" t="s">
        <v>197</v>
      </c>
      <c r="C484" s="2" t="s">
        <v>70</v>
      </c>
      <c r="D484" s="2" t="s">
        <v>71</v>
      </c>
      <c r="E484" s="2" t="s">
        <v>67</v>
      </c>
      <c r="F484" s="2" t="n">
        <v>45</v>
      </c>
      <c r="G484" s="2" t="n">
        <v>40</v>
      </c>
      <c r="H484" s="2" t="n">
        <f aca="false">ROUND(F484/G484*100,0)</f>
        <v>113</v>
      </c>
      <c r="I484" s="2" t="str">
        <f aca="false">IF(H484&gt;=workload_config!$B$2,"Overloaded",IF(H484&lt;workload_config!$B$3,"Underutilized","Optimal"))</f>
        <v>Overloaded</v>
      </c>
      <c r="J484" s="2" t="n">
        <v>4</v>
      </c>
      <c r="K484" s="2" t="n">
        <v>26</v>
      </c>
      <c r="L484" s="2" t="n">
        <v>19</v>
      </c>
      <c r="M484" s="2" t="n">
        <v>0</v>
      </c>
    </row>
    <row r="485" customFormat="false" ht="15" hidden="false" customHeight="false" outlineLevel="0" collapsed="false">
      <c r="A485" s="2" t="s">
        <v>46</v>
      </c>
      <c r="B485" s="2" t="s">
        <v>197</v>
      </c>
      <c r="C485" s="2" t="s">
        <v>72</v>
      </c>
      <c r="D485" s="2" t="s">
        <v>73</v>
      </c>
      <c r="E485" s="2" t="s">
        <v>67</v>
      </c>
      <c r="F485" s="2" t="n">
        <v>38</v>
      </c>
      <c r="G485" s="2" t="n">
        <v>40</v>
      </c>
      <c r="H485" s="2" t="n">
        <f aca="false">ROUND(F485/G485*100,0)</f>
        <v>95</v>
      </c>
      <c r="I485" s="2" t="str">
        <f aca="false">IF(H485&gt;=workload_config!$B$2,"Overloaded",IF(H485&lt;workload_config!$B$3,"Underutilized","Optimal"))</f>
        <v>Overloaded</v>
      </c>
      <c r="J485" s="2" t="n">
        <v>4</v>
      </c>
      <c r="K485" s="2" t="n">
        <v>38</v>
      </c>
      <c r="L485" s="2" t="n">
        <v>0</v>
      </c>
      <c r="M485" s="2" t="n">
        <v>0</v>
      </c>
    </row>
    <row r="486" customFormat="false" ht="15" hidden="false" customHeight="false" outlineLevel="0" collapsed="false">
      <c r="A486" s="2" t="s">
        <v>46</v>
      </c>
      <c r="B486" s="2" t="s">
        <v>197</v>
      </c>
      <c r="C486" s="2" t="s">
        <v>74</v>
      </c>
      <c r="D486" s="2" t="s">
        <v>75</v>
      </c>
      <c r="E486" s="2" t="s">
        <v>67</v>
      </c>
      <c r="F486" s="2" t="n">
        <v>27</v>
      </c>
      <c r="G486" s="2" t="n">
        <v>40</v>
      </c>
      <c r="H486" s="2" t="n">
        <f aca="false">ROUND(F486/G486*100,0)</f>
        <v>68</v>
      </c>
      <c r="I486" s="2" t="str">
        <f aca="false">IF(H486&gt;=workload_config!$B$2,"Overloaded",IF(H486&lt;workload_config!$B$3,"Underutilized","Optimal"))</f>
        <v>Optimal</v>
      </c>
      <c r="J486" s="2" t="n">
        <v>3</v>
      </c>
      <c r="K486" s="2" t="n">
        <v>27</v>
      </c>
      <c r="L486" s="2" t="n">
        <v>0</v>
      </c>
      <c r="M486" s="2" t="n">
        <v>0</v>
      </c>
    </row>
    <row r="487" customFormat="false" ht="15" hidden="false" customHeight="false" outlineLevel="0" collapsed="false">
      <c r="A487" s="2" t="s">
        <v>46</v>
      </c>
      <c r="B487" s="2" t="s">
        <v>197</v>
      </c>
      <c r="C487" s="2" t="s">
        <v>76</v>
      </c>
      <c r="D487" s="2" t="s">
        <v>77</v>
      </c>
      <c r="E487" s="2" t="s">
        <v>67</v>
      </c>
      <c r="F487" s="2" t="n">
        <v>34</v>
      </c>
      <c r="G487" s="2" t="n">
        <v>40</v>
      </c>
      <c r="H487" s="2" t="n">
        <f aca="false">ROUND(F487/G487*100,0)</f>
        <v>85</v>
      </c>
      <c r="I487" s="2" t="str">
        <f aca="false">IF(H487&gt;=workload_config!$B$2,"Overloaded",IF(H487&lt;workload_config!$B$3,"Underutilized","Optimal"))</f>
        <v>Optimal</v>
      </c>
      <c r="J487" s="2" t="n">
        <v>3</v>
      </c>
      <c r="K487" s="2" t="n">
        <v>34</v>
      </c>
      <c r="L487" s="2" t="n">
        <v>0</v>
      </c>
      <c r="M487" s="2" t="n">
        <v>0</v>
      </c>
    </row>
    <row r="488" customFormat="false" ht="15" hidden="false" customHeight="false" outlineLevel="0" collapsed="false">
      <c r="A488" s="2" t="s">
        <v>46</v>
      </c>
      <c r="B488" s="2" t="s">
        <v>197</v>
      </c>
      <c r="C488" s="2" t="s">
        <v>78</v>
      </c>
      <c r="D488" s="2" t="s">
        <v>79</v>
      </c>
      <c r="E488" s="2" t="s">
        <v>67</v>
      </c>
      <c r="F488" s="2" t="n">
        <v>33</v>
      </c>
      <c r="G488" s="2" t="n">
        <v>40</v>
      </c>
      <c r="H488" s="2" t="n">
        <f aca="false">ROUND(F488/G488*100,0)</f>
        <v>83</v>
      </c>
      <c r="I488" s="2" t="str">
        <f aca="false">IF(H488&gt;=workload_config!$B$2,"Overloaded",IF(H488&lt;workload_config!$B$3,"Underutilized","Optimal"))</f>
        <v>Optimal</v>
      </c>
      <c r="J488" s="2" t="n">
        <v>3</v>
      </c>
      <c r="K488" s="2" t="n">
        <v>33</v>
      </c>
      <c r="L488" s="2" t="n">
        <v>0</v>
      </c>
      <c r="M488" s="2" t="n">
        <v>0</v>
      </c>
    </row>
    <row r="489" customFormat="false" ht="15" hidden="false" customHeight="false" outlineLevel="0" collapsed="false">
      <c r="A489" s="2" t="s">
        <v>46</v>
      </c>
      <c r="B489" s="2" t="s">
        <v>197</v>
      </c>
      <c r="C489" s="2" t="s">
        <v>80</v>
      </c>
      <c r="D489" s="2" t="s">
        <v>81</v>
      </c>
      <c r="E489" s="2" t="s">
        <v>67</v>
      </c>
      <c r="F489" s="2" t="n">
        <v>29</v>
      </c>
      <c r="G489" s="2" t="n">
        <v>40</v>
      </c>
      <c r="H489" s="2" t="n">
        <f aca="false">ROUND(F489/G489*100,0)</f>
        <v>73</v>
      </c>
      <c r="I489" s="2" t="str">
        <f aca="false">IF(H489&gt;=workload_config!$B$2,"Overloaded",IF(H489&lt;workload_config!$B$3,"Underutilized","Optimal"))</f>
        <v>Optimal</v>
      </c>
      <c r="J489" s="2" t="n">
        <v>3</v>
      </c>
      <c r="K489" s="2" t="n">
        <v>8</v>
      </c>
      <c r="L489" s="2" t="n">
        <v>21</v>
      </c>
      <c r="M489" s="2" t="n">
        <v>0</v>
      </c>
    </row>
    <row r="490" customFormat="false" ht="15" hidden="false" customHeight="false" outlineLevel="0" collapsed="false">
      <c r="A490" s="2" t="s">
        <v>46</v>
      </c>
      <c r="B490" s="2" t="s">
        <v>197</v>
      </c>
      <c r="C490" s="2" t="s">
        <v>82</v>
      </c>
      <c r="D490" s="2" t="s">
        <v>83</v>
      </c>
      <c r="E490" s="2" t="s">
        <v>67</v>
      </c>
      <c r="F490" s="2" t="n">
        <v>30</v>
      </c>
      <c r="G490" s="2" t="n">
        <v>40</v>
      </c>
      <c r="H490" s="2" t="n">
        <f aca="false">ROUND(F490/G490*100,0)</f>
        <v>75</v>
      </c>
      <c r="I490" s="2" t="str">
        <f aca="false">IF(H490&gt;=workload_config!$B$2,"Overloaded",IF(H490&lt;workload_config!$B$3,"Underutilized","Optimal"))</f>
        <v>Optimal</v>
      </c>
      <c r="J490" s="2" t="n">
        <v>3</v>
      </c>
      <c r="K490" s="2" t="n">
        <v>9</v>
      </c>
      <c r="L490" s="2" t="n">
        <v>21</v>
      </c>
      <c r="M490" s="2" t="n">
        <v>0</v>
      </c>
    </row>
    <row r="491" customFormat="false" ht="15" hidden="false" customHeight="false" outlineLevel="0" collapsed="false">
      <c r="A491" s="2" t="s">
        <v>46</v>
      </c>
      <c r="B491" s="2" t="s">
        <v>197</v>
      </c>
      <c r="C491" s="2" t="s">
        <v>84</v>
      </c>
      <c r="D491" s="2" t="s">
        <v>85</v>
      </c>
      <c r="E491" s="2" t="s">
        <v>67</v>
      </c>
      <c r="F491" s="2" t="n">
        <v>33</v>
      </c>
      <c r="G491" s="2" t="n">
        <v>40</v>
      </c>
      <c r="H491" s="2" t="n">
        <f aca="false">ROUND(F491/G491*100,0)</f>
        <v>83</v>
      </c>
      <c r="I491" s="2" t="str">
        <f aca="false">IF(H491&gt;=workload_config!$B$2,"Overloaded",IF(H491&lt;workload_config!$B$3,"Underutilized","Optimal"))</f>
        <v>Optimal</v>
      </c>
      <c r="J491" s="2" t="n">
        <v>3</v>
      </c>
      <c r="K491" s="2" t="n">
        <v>11</v>
      </c>
      <c r="L491" s="2" t="n">
        <v>22</v>
      </c>
      <c r="M491" s="2" t="n">
        <v>0</v>
      </c>
    </row>
    <row r="492" customFormat="false" ht="15" hidden="false" customHeight="false" outlineLevel="0" collapsed="false">
      <c r="A492" s="2" t="s">
        <v>46</v>
      </c>
      <c r="B492" s="2" t="s">
        <v>197</v>
      </c>
      <c r="C492" s="2" t="s">
        <v>86</v>
      </c>
      <c r="D492" s="2" t="s">
        <v>87</v>
      </c>
      <c r="E492" s="2" t="s">
        <v>67</v>
      </c>
      <c r="F492" s="2" t="n">
        <v>30</v>
      </c>
      <c r="G492" s="2" t="n">
        <v>40</v>
      </c>
      <c r="H492" s="2" t="n">
        <f aca="false">ROUND(F492/G492*100,0)</f>
        <v>75</v>
      </c>
      <c r="I492" s="2" t="str">
        <f aca="false">IF(H492&gt;=workload_config!$B$2,"Overloaded",IF(H492&lt;workload_config!$B$3,"Underutilized","Optimal"))</f>
        <v>Optimal</v>
      </c>
      <c r="J492" s="2" t="n">
        <v>3</v>
      </c>
      <c r="K492" s="2" t="n">
        <v>30</v>
      </c>
      <c r="L492" s="2" t="n">
        <v>0</v>
      </c>
      <c r="M492" s="2" t="n">
        <v>0</v>
      </c>
    </row>
    <row r="493" customFormat="false" ht="15" hidden="false" customHeight="false" outlineLevel="0" collapsed="false">
      <c r="A493" s="2" t="s">
        <v>46</v>
      </c>
      <c r="B493" s="2" t="s">
        <v>197</v>
      </c>
      <c r="C493" s="2" t="s">
        <v>88</v>
      </c>
      <c r="D493" s="2" t="s">
        <v>89</v>
      </c>
      <c r="E493" s="2" t="s">
        <v>67</v>
      </c>
      <c r="F493" s="2" t="n">
        <v>26</v>
      </c>
      <c r="G493" s="2" t="n">
        <v>40</v>
      </c>
      <c r="H493" s="2" t="n">
        <f aca="false">ROUND(F493/G493*100,0)</f>
        <v>65</v>
      </c>
      <c r="I493" s="2" t="str">
        <f aca="false">IF(H493&gt;=workload_config!$B$2,"Overloaded",IF(H493&lt;workload_config!$B$3,"Underutilized","Optimal"))</f>
        <v>Optimal</v>
      </c>
      <c r="J493" s="2" t="n">
        <v>3</v>
      </c>
      <c r="K493" s="2" t="n">
        <v>26</v>
      </c>
      <c r="L493" s="2" t="n">
        <v>0</v>
      </c>
      <c r="M493" s="2" t="n">
        <v>0</v>
      </c>
    </row>
    <row r="494" customFormat="false" ht="15" hidden="false" customHeight="false" outlineLevel="0" collapsed="false">
      <c r="A494" s="2" t="s">
        <v>46</v>
      </c>
      <c r="B494" s="2" t="s">
        <v>197</v>
      </c>
      <c r="C494" s="2" t="s">
        <v>90</v>
      </c>
      <c r="D494" s="2" t="s">
        <v>91</v>
      </c>
      <c r="E494" s="2" t="s">
        <v>67</v>
      </c>
      <c r="F494" s="2" t="n">
        <v>29</v>
      </c>
      <c r="G494" s="2" t="n">
        <v>40</v>
      </c>
      <c r="H494" s="2" t="n">
        <f aca="false">ROUND(F494/G494*100,0)</f>
        <v>73</v>
      </c>
      <c r="I494" s="2" t="str">
        <f aca="false">IF(H494&gt;=workload_config!$B$2,"Overloaded",IF(H494&lt;workload_config!$B$3,"Underutilized","Optimal"))</f>
        <v>Optimal</v>
      </c>
      <c r="J494" s="2" t="n">
        <v>3</v>
      </c>
      <c r="K494" s="2" t="n">
        <v>29</v>
      </c>
      <c r="L494" s="2" t="n">
        <v>0</v>
      </c>
      <c r="M494" s="2" t="n">
        <v>0</v>
      </c>
    </row>
    <row r="495" customFormat="false" ht="15" hidden="false" customHeight="false" outlineLevel="0" collapsed="false">
      <c r="A495" s="2" t="s">
        <v>46</v>
      </c>
      <c r="B495" s="2" t="s">
        <v>197</v>
      </c>
      <c r="C495" s="2" t="s">
        <v>92</v>
      </c>
      <c r="D495" s="2" t="s">
        <v>93</v>
      </c>
      <c r="E495" s="2" t="s">
        <v>67</v>
      </c>
      <c r="F495" s="2" t="n">
        <v>31</v>
      </c>
      <c r="G495" s="2" t="n">
        <v>40</v>
      </c>
      <c r="H495" s="2" t="n">
        <f aca="false">ROUND(F495/G495*100,0)</f>
        <v>78</v>
      </c>
      <c r="I495" s="2" t="str">
        <f aca="false">IF(H495&gt;=workload_config!$B$2,"Overloaded",IF(H495&lt;workload_config!$B$3,"Underutilized","Optimal"))</f>
        <v>Optimal</v>
      </c>
      <c r="J495" s="2" t="n">
        <v>3</v>
      </c>
      <c r="K495" s="2" t="n">
        <v>19</v>
      </c>
      <c r="L495" s="2" t="n">
        <v>12</v>
      </c>
      <c r="M495" s="2" t="n">
        <v>0</v>
      </c>
    </row>
    <row r="496" customFormat="false" ht="15" hidden="false" customHeight="false" outlineLevel="0" collapsed="false">
      <c r="A496" s="2" t="s">
        <v>46</v>
      </c>
      <c r="B496" s="2" t="s">
        <v>197</v>
      </c>
      <c r="C496" s="2" t="s">
        <v>94</v>
      </c>
      <c r="D496" s="2" t="s">
        <v>95</v>
      </c>
      <c r="E496" s="2" t="s">
        <v>96</v>
      </c>
      <c r="F496" s="2" t="n">
        <v>15</v>
      </c>
      <c r="G496" s="2" t="n">
        <v>40</v>
      </c>
      <c r="H496" s="2" t="n">
        <f aca="false">ROUND(F496/G496*100,0)</f>
        <v>38</v>
      </c>
      <c r="I496" s="2" t="str">
        <f aca="false">IF(H496&gt;=workload_config!$B$2,"Overloaded",IF(H496&lt;workload_config!$B$3,"Underutilized","Optimal"))</f>
        <v>Underutilized</v>
      </c>
      <c r="J496" s="2" t="n">
        <v>2</v>
      </c>
      <c r="K496" s="2" t="n">
        <v>15</v>
      </c>
      <c r="L496" s="2" t="n">
        <v>0</v>
      </c>
      <c r="M496" s="2" t="n">
        <v>0</v>
      </c>
    </row>
    <row r="497" customFormat="false" ht="15" hidden="false" customHeight="false" outlineLevel="0" collapsed="false">
      <c r="A497" s="2" t="s">
        <v>46</v>
      </c>
      <c r="B497" s="2" t="s">
        <v>197</v>
      </c>
      <c r="C497" s="2" t="s">
        <v>97</v>
      </c>
      <c r="D497" s="2" t="s">
        <v>98</v>
      </c>
      <c r="E497" s="2" t="s">
        <v>96</v>
      </c>
      <c r="F497" s="2" t="n">
        <v>20</v>
      </c>
      <c r="G497" s="2" t="n">
        <v>40</v>
      </c>
      <c r="H497" s="2" t="n">
        <f aca="false">ROUND(F497/G497*100,0)</f>
        <v>50</v>
      </c>
      <c r="I497" s="2" t="str">
        <f aca="false">IF(H497&gt;=workload_config!$B$2,"Overloaded",IF(H497&lt;workload_config!$B$3,"Underutilized","Optimal"))</f>
        <v>Optimal</v>
      </c>
      <c r="J497" s="2" t="n">
        <v>2</v>
      </c>
      <c r="K497" s="2" t="n">
        <v>20</v>
      </c>
      <c r="L497" s="2" t="n">
        <v>0</v>
      </c>
      <c r="M497" s="2" t="n">
        <v>0</v>
      </c>
    </row>
    <row r="498" customFormat="false" ht="15" hidden="false" customHeight="false" outlineLevel="0" collapsed="false">
      <c r="A498" s="2" t="s">
        <v>46</v>
      </c>
      <c r="B498" s="2" t="s">
        <v>197</v>
      </c>
      <c r="C498" s="2" t="s">
        <v>99</v>
      </c>
      <c r="D498" s="2" t="s">
        <v>100</v>
      </c>
      <c r="E498" s="2" t="s">
        <v>96</v>
      </c>
      <c r="F498" s="2" t="n">
        <v>12</v>
      </c>
      <c r="G498" s="2" t="n">
        <v>40</v>
      </c>
      <c r="H498" s="2" t="n">
        <f aca="false">ROUND(F498/G498*100,0)</f>
        <v>30</v>
      </c>
      <c r="I498" s="2" t="str">
        <f aca="false">IF(H498&gt;=workload_config!$B$2,"Overloaded",IF(H498&lt;workload_config!$B$3,"Underutilized","Optimal"))</f>
        <v>Underutilized</v>
      </c>
      <c r="J498" s="2" t="n">
        <v>1</v>
      </c>
      <c r="K498" s="2" t="n">
        <v>12</v>
      </c>
      <c r="L498" s="2" t="n">
        <v>0</v>
      </c>
      <c r="M498" s="2" t="n">
        <v>0</v>
      </c>
    </row>
    <row r="499" customFormat="false" ht="15" hidden="false" customHeight="false" outlineLevel="0" collapsed="false">
      <c r="A499" s="2" t="s">
        <v>46</v>
      </c>
      <c r="B499" s="2" t="s">
        <v>197</v>
      </c>
      <c r="C499" s="2" t="s">
        <v>101</v>
      </c>
      <c r="D499" s="2" t="s">
        <v>102</v>
      </c>
      <c r="E499" s="2" t="s">
        <v>96</v>
      </c>
      <c r="F499" s="2" t="n">
        <v>29</v>
      </c>
      <c r="G499" s="2" t="n">
        <v>40</v>
      </c>
      <c r="H499" s="2" t="n">
        <f aca="false">ROUND(F499/G499*100,0)</f>
        <v>73</v>
      </c>
      <c r="I499" s="2" t="str">
        <f aca="false">IF(H499&gt;=workload_config!$B$2,"Overloaded",IF(H499&lt;workload_config!$B$3,"Underutilized","Optimal"))</f>
        <v>Optimal</v>
      </c>
      <c r="J499" s="2" t="n">
        <v>3</v>
      </c>
      <c r="K499" s="2" t="n">
        <v>29</v>
      </c>
      <c r="L499" s="2" t="n">
        <v>0</v>
      </c>
      <c r="M499" s="2" t="n">
        <v>0</v>
      </c>
    </row>
    <row r="500" customFormat="false" ht="15" hidden="false" customHeight="false" outlineLevel="0" collapsed="false">
      <c r="A500" s="2" t="s">
        <v>46</v>
      </c>
      <c r="B500" s="2" t="s">
        <v>197</v>
      </c>
      <c r="C500" s="2" t="s">
        <v>103</v>
      </c>
      <c r="D500" s="2" t="s">
        <v>104</v>
      </c>
      <c r="E500" s="2" t="s">
        <v>96</v>
      </c>
      <c r="F500" s="2" t="n">
        <v>36</v>
      </c>
      <c r="G500" s="2" t="n">
        <v>40</v>
      </c>
      <c r="H500" s="2" t="n">
        <f aca="false">ROUND(F500/G500*100,0)</f>
        <v>90</v>
      </c>
      <c r="I500" s="2" t="str">
        <f aca="false">IF(H500&gt;=workload_config!$B$2,"Overloaded",IF(H500&lt;workload_config!$B$3,"Underutilized","Optimal"))</f>
        <v>Overloaded</v>
      </c>
      <c r="J500" s="2" t="n">
        <v>4</v>
      </c>
      <c r="K500" s="2" t="n">
        <v>18</v>
      </c>
      <c r="L500" s="2" t="n">
        <v>18</v>
      </c>
      <c r="M500" s="2" t="n">
        <v>0</v>
      </c>
    </row>
    <row r="501" customFormat="false" ht="15" hidden="false" customHeight="false" outlineLevel="0" collapsed="false">
      <c r="A501" s="2" t="s">
        <v>46</v>
      </c>
      <c r="B501" s="2" t="s">
        <v>197</v>
      </c>
      <c r="C501" s="2" t="s">
        <v>105</v>
      </c>
      <c r="D501" s="2" t="s">
        <v>106</v>
      </c>
      <c r="E501" s="2" t="s">
        <v>96</v>
      </c>
      <c r="F501" s="2" t="n">
        <v>31</v>
      </c>
      <c r="G501" s="2" t="n">
        <v>40</v>
      </c>
      <c r="H501" s="2" t="n">
        <f aca="false">ROUND(F501/G501*100,0)</f>
        <v>78</v>
      </c>
      <c r="I501" s="2" t="str">
        <f aca="false">IF(H501&gt;=workload_config!$B$2,"Overloaded",IF(H501&lt;workload_config!$B$3,"Underutilized","Optimal"))</f>
        <v>Optimal</v>
      </c>
      <c r="J501" s="2" t="n">
        <v>3</v>
      </c>
      <c r="K501" s="2" t="n">
        <v>31</v>
      </c>
      <c r="L501" s="2" t="n">
        <v>0</v>
      </c>
      <c r="M501" s="2" t="n">
        <v>0</v>
      </c>
    </row>
    <row r="502" customFormat="false" ht="15" hidden="false" customHeight="false" outlineLevel="0" collapsed="false">
      <c r="A502" s="2" t="s">
        <v>46</v>
      </c>
      <c r="B502" s="2" t="s">
        <v>197</v>
      </c>
      <c r="C502" s="2" t="s">
        <v>107</v>
      </c>
      <c r="D502" s="2" t="s">
        <v>108</v>
      </c>
      <c r="E502" s="2" t="s">
        <v>96</v>
      </c>
      <c r="F502" s="2" t="n">
        <v>31</v>
      </c>
      <c r="G502" s="2" t="n">
        <v>40</v>
      </c>
      <c r="H502" s="2" t="n">
        <f aca="false">ROUND(F502/G502*100,0)</f>
        <v>78</v>
      </c>
      <c r="I502" s="2" t="str">
        <f aca="false">IF(H502&gt;=workload_config!$B$2,"Overloaded",IF(H502&lt;workload_config!$B$3,"Underutilized","Optimal"))</f>
        <v>Optimal</v>
      </c>
      <c r="J502" s="2" t="n">
        <v>3</v>
      </c>
      <c r="K502" s="2" t="n">
        <v>31</v>
      </c>
      <c r="L502" s="2" t="n">
        <v>0</v>
      </c>
      <c r="M502" s="2" t="n">
        <v>0</v>
      </c>
    </row>
    <row r="503" customFormat="false" ht="15" hidden="false" customHeight="false" outlineLevel="0" collapsed="false">
      <c r="A503" s="2" t="s">
        <v>46</v>
      </c>
      <c r="B503" s="2" t="s">
        <v>197</v>
      </c>
      <c r="C503" s="2" t="s">
        <v>109</v>
      </c>
      <c r="D503" s="2" t="s">
        <v>110</v>
      </c>
      <c r="E503" s="2" t="s">
        <v>96</v>
      </c>
      <c r="F503" s="2" t="n">
        <v>38</v>
      </c>
      <c r="G503" s="2" t="n">
        <v>40</v>
      </c>
      <c r="H503" s="2" t="n">
        <f aca="false">ROUND(F503/G503*100,0)</f>
        <v>95</v>
      </c>
      <c r="I503" s="2" t="str">
        <f aca="false">IF(H503&gt;=workload_config!$B$2,"Overloaded",IF(H503&lt;workload_config!$B$3,"Underutilized","Optimal"))</f>
        <v>Overloaded</v>
      </c>
      <c r="J503" s="2" t="n">
        <v>4</v>
      </c>
      <c r="K503" s="2" t="n">
        <v>38</v>
      </c>
      <c r="L503" s="2" t="n">
        <v>0</v>
      </c>
      <c r="M503" s="2" t="n">
        <v>0</v>
      </c>
    </row>
    <row r="504" customFormat="false" ht="15" hidden="false" customHeight="false" outlineLevel="0" collapsed="false">
      <c r="A504" s="2" t="s">
        <v>46</v>
      </c>
      <c r="B504" s="2" t="s">
        <v>197</v>
      </c>
      <c r="C504" s="2" t="s">
        <v>111</v>
      </c>
      <c r="D504" s="2" t="s">
        <v>112</v>
      </c>
      <c r="E504" s="2" t="s">
        <v>96</v>
      </c>
      <c r="F504" s="2" t="n">
        <v>32</v>
      </c>
      <c r="G504" s="2" t="n">
        <v>40</v>
      </c>
      <c r="H504" s="2" t="n">
        <f aca="false">ROUND(F504/G504*100,0)</f>
        <v>80</v>
      </c>
      <c r="I504" s="2" t="str">
        <f aca="false">IF(H504&gt;=workload_config!$B$2,"Overloaded",IF(H504&lt;workload_config!$B$3,"Underutilized","Optimal"))</f>
        <v>Optimal</v>
      </c>
      <c r="J504" s="2" t="n">
        <v>3</v>
      </c>
      <c r="K504" s="2" t="n">
        <v>32</v>
      </c>
      <c r="L504" s="2" t="n">
        <v>0</v>
      </c>
      <c r="M504" s="2" t="n">
        <v>0</v>
      </c>
    </row>
    <row r="505" customFormat="false" ht="15" hidden="false" customHeight="false" outlineLevel="0" collapsed="false">
      <c r="A505" s="2" t="s">
        <v>46</v>
      </c>
      <c r="B505" s="2" t="s">
        <v>197</v>
      </c>
      <c r="C505" s="2" t="s">
        <v>113</v>
      </c>
      <c r="D505" s="2" t="s">
        <v>114</v>
      </c>
      <c r="E505" s="2" t="s">
        <v>96</v>
      </c>
      <c r="F505" s="2" t="n">
        <v>29</v>
      </c>
      <c r="G505" s="2" t="n">
        <v>40</v>
      </c>
      <c r="H505" s="2" t="n">
        <f aca="false">ROUND(F505/G505*100,0)</f>
        <v>73</v>
      </c>
      <c r="I505" s="2" t="str">
        <f aca="false">IF(H505&gt;=workload_config!$B$2,"Overloaded",IF(H505&lt;workload_config!$B$3,"Underutilized","Optimal"))</f>
        <v>Optimal</v>
      </c>
      <c r="J505" s="2" t="n">
        <v>3</v>
      </c>
      <c r="K505" s="2" t="n">
        <v>18</v>
      </c>
      <c r="L505" s="2" t="n">
        <v>11</v>
      </c>
      <c r="M505" s="2" t="n">
        <v>0</v>
      </c>
    </row>
    <row r="506" customFormat="false" ht="15" hidden="false" customHeight="false" outlineLevel="0" collapsed="false">
      <c r="A506" s="2" t="s">
        <v>46</v>
      </c>
      <c r="B506" s="2" t="s">
        <v>197</v>
      </c>
      <c r="C506" s="2" t="s">
        <v>115</v>
      </c>
      <c r="D506" s="2" t="s">
        <v>116</v>
      </c>
      <c r="E506" s="2" t="s">
        <v>96</v>
      </c>
      <c r="F506" s="2" t="n">
        <v>27</v>
      </c>
      <c r="G506" s="2" t="n">
        <v>40</v>
      </c>
      <c r="H506" s="2" t="n">
        <f aca="false">ROUND(F506/G506*100,0)</f>
        <v>68</v>
      </c>
      <c r="I506" s="2" t="str">
        <f aca="false">IF(H506&gt;=workload_config!$B$2,"Overloaded",IF(H506&lt;workload_config!$B$3,"Underutilized","Optimal"))</f>
        <v>Optimal</v>
      </c>
      <c r="J506" s="2" t="n">
        <v>3</v>
      </c>
      <c r="K506" s="2" t="n">
        <v>27</v>
      </c>
      <c r="L506" s="2" t="n">
        <v>0</v>
      </c>
      <c r="M506" s="2" t="n">
        <v>0</v>
      </c>
    </row>
    <row r="507" customFormat="false" ht="15" hidden="false" customHeight="false" outlineLevel="0" collapsed="false">
      <c r="A507" s="2" t="s">
        <v>46</v>
      </c>
      <c r="B507" s="2" t="s">
        <v>197</v>
      </c>
      <c r="C507" s="2" t="s">
        <v>117</v>
      </c>
      <c r="D507" s="2" t="s">
        <v>118</v>
      </c>
      <c r="E507" s="2" t="s">
        <v>119</v>
      </c>
      <c r="F507" s="2" t="n">
        <v>20</v>
      </c>
      <c r="G507" s="2" t="n">
        <v>40</v>
      </c>
      <c r="H507" s="2" t="n">
        <f aca="false">ROUND(F507/G507*100,0)</f>
        <v>50</v>
      </c>
      <c r="I507" s="2" t="str">
        <f aca="false">IF(H507&gt;=workload_config!$B$2,"Overloaded",IF(H507&lt;workload_config!$B$3,"Underutilized","Optimal"))</f>
        <v>Optimal</v>
      </c>
      <c r="J507" s="2" t="n">
        <v>2</v>
      </c>
      <c r="K507" s="2" t="n">
        <v>20</v>
      </c>
      <c r="L507" s="2" t="n">
        <v>0</v>
      </c>
      <c r="M507" s="2" t="n">
        <v>0</v>
      </c>
    </row>
    <row r="508" customFormat="false" ht="15" hidden="false" customHeight="false" outlineLevel="0" collapsed="false">
      <c r="A508" s="2" t="s">
        <v>46</v>
      </c>
      <c r="B508" s="2" t="s">
        <v>197</v>
      </c>
      <c r="C508" s="2" t="s">
        <v>120</v>
      </c>
      <c r="D508" s="2" t="s">
        <v>121</v>
      </c>
      <c r="E508" s="2" t="s">
        <v>119</v>
      </c>
      <c r="F508" s="2" t="n">
        <v>30</v>
      </c>
      <c r="G508" s="2" t="n">
        <v>40</v>
      </c>
      <c r="H508" s="2" t="n">
        <f aca="false">ROUND(F508/G508*100,0)</f>
        <v>75</v>
      </c>
      <c r="I508" s="2" t="str">
        <f aca="false">IF(H508&gt;=workload_config!$B$2,"Overloaded",IF(H508&lt;workload_config!$B$3,"Underutilized","Optimal"))</f>
        <v>Optimal</v>
      </c>
      <c r="J508" s="2" t="n">
        <v>3</v>
      </c>
      <c r="K508" s="2" t="n">
        <v>22</v>
      </c>
      <c r="L508" s="2" t="n">
        <v>8</v>
      </c>
      <c r="M508" s="2" t="n">
        <v>0</v>
      </c>
    </row>
    <row r="509" customFormat="false" ht="15" hidden="false" customHeight="false" outlineLevel="0" collapsed="false">
      <c r="A509" s="2" t="s">
        <v>46</v>
      </c>
      <c r="B509" s="2" t="s">
        <v>197</v>
      </c>
      <c r="C509" s="2" t="s">
        <v>122</v>
      </c>
      <c r="D509" s="2" t="s">
        <v>123</v>
      </c>
      <c r="E509" s="2" t="s">
        <v>119</v>
      </c>
      <c r="F509" s="2" t="n">
        <v>50</v>
      </c>
      <c r="G509" s="2" t="n">
        <v>40</v>
      </c>
      <c r="H509" s="2" t="n">
        <f aca="false">ROUND(F509/G509*100,0)</f>
        <v>125</v>
      </c>
      <c r="I509" s="2" t="str">
        <f aca="false">IF(H509&gt;=workload_config!$B$2,"Overloaded",IF(H509&lt;workload_config!$B$3,"Underutilized","Optimal"))</f>
        <v>Overloaded</v>
      </c>
      <c r="J509" s="2" t="n">
        <v>5</v>
      </c>
      <c r="K509" s="2" t="n">
        <v>40</v>
      </c>
      <c r="L509" s="2" t="n">
        <v>10</v>
      </c>
      <c r="M509" s="2" t="n">
        <v>0</v>
      </c>
    </row>
    <row r="510" customFormat="false" ht="15" hidden="false" customHeight="false" outlineLevel="0" collapsed="false">
      <c r="A510" s="2" t="s">
        <v>46</v>
      </c>
      <c r="B510" s="2" t="s">
        <v>197</v>
      </c>
      <c r="C510" s="2" t="s">
        <v>124</v>
      </c>
      <c r="D510" s="2" t="s">
        <v>125</v>
      </c>
      <c r="E510" s="2" t="s">
        <v>119</v>
      </c>
      <c r="F510" s="2" t="n">
        <v>27</v>
      </c>
      <c r="G510" s="2" t="n">
        <v>40</v>
      </c>
      <c r="H510" s="2" t="n">
        <f aca="false">ROUND(F510/G510*100,0)</f>
        <v>68</v>
      </c>
      <c r="I510" s="2" t="str">
        <f aca="false">IF(H510&gt;=workload_config!$B$2,"Overloaded",IF(H510&lt;workload_config!$B$3,"Underutilized","Optimal"))</f>
        <v>Optimal</v>
      </c>
      <c r="J510" s="2" t="n">
        <v>3</v>
      </c>
      <c r="K510" s="2" t="n">
        <v>18</v>
      </c>
      <c r="L510" s="2" t="n">
        <v>9</v>
      </c>
      <c r="M510" s="2" t="n">
        <v>0</v>
      </c>
    </row>
    <row r="511" customFormat="false" ht="15" hidden="false" customHeight="false" outlineLevel="0" collapsed="false">
      <c r="A511" s="2" t="s">
        <v>46</v>
      </c>
      <c r="B511" s="2" t="s">
        <v>197</v>
      </c>
      <c r="C511" s="2" t="s">
        <v>126</v>
      </c>
      <c r="D511" s="2" t="s">
        <v>127</v>
      </c>
      <c r="E511" s="2" t="s">
        <v>119</v>
      </c>
      <c r="F511" s="2" t="n">
        <v>39</v>
      </c>
      <c r="G511" s="2" t="n">
        <v>40</v>
      </c>
      <c r="H511" s="2" t="n">
        <f aca="false">ROUND(F511/G511*100,0)</f>
        <v>98</v>
      </c>
      <c r="I511" s="2" t="str">
        <f aca="false">IF(H511&gt;=workload_config!$B$2,"Overloaded",IF(H511&lt;workload_config!$B$3,"Underutilized","Optimal"))</f>
        <v>Overloaded</v>
      </c>
      <c r="J511" s="2" t="n">
        <v>4</v>
      </c>
      <c r="K511" s="2" t="n">
        <v>39</v>
      </c>
      <c r="L511" s="2" t="n">
        <v>0</v>
      </c>
      <c r="M511" s="2" t="n">
        <v>0</v>
      </c>
    </row>
    <row r="512" customFormat="false" ht="15" hidden="false" customHeight="false" outlineLevel="0" collapsed="false">
      <c r="A512" s="2" t="s">
        <v>46</v>
      </c>
      <c r="B512" s="2" t="s">
        <v>197</v>
      </c>
      <c r="C512" s="2" t="s">
        <v>128</v>
      </c>
      <c r="D512" s="2" t="s">
        <v>129</v>
      </c>
      <c r="E512" s="2" t="s">
        <v>119</v>
      </c>
      <c r="F512" s="2" t="n">
        <v>24</v>
      </c>
      <c r="G512" s="2" t="n">
        <v>40</v>
      </c>
      <c r="H512" s="2" t="n">
        <f aca="false">ROUND(F512/G512*100,0)</f>
        <v>60</v>
      </c>
      <c r="I512" s="2" t="str">
        <f aca="false">IF(H512&gt;=workload_config!$B$2,"Overloaded",IF(H512&lt;workload_config!$B$3,"Underutilized","Optimal"))</f>
        <v>Optimal</v>
      </c>
      <c r="J512" s="2" t="n">
        <v>2</v>
      </c>
      <c r="K512" s="2" t="n">
        <v>24</v>
      </c>
      <c r="L512" s="2" t="n">
        <v>0</v>
      </c>
      <c r="M512" s="2" t="n">
        <v>0</v>
      </c>
    </row>
    <row r="513" customFormat="false" ht="15" hidden="false" customHeight="false" outlineLevel="0" collapsed="false">
      <c r="A513" s="2" t="s">
        <v>46</v>
      </c>
      <c r="B513" s="2" t="s">
        <v>197</v>
      </c>
      <c r="C513" s="2" t="s">
        <v>130</v>
      </c>
      <c r="D513" s="2" t="s">
        <v>131</v>
      </c>
      <c r="E513" s="2" t="s">
        <v>119</v>
      </c>
      <c r="F513" s="2" t="n">
        <v>27</v>
      </c>
      <c r="G513" s="2" t="n">
        <v>40</v>
      </c>
      <c r="H513" s="2" t="n">
        <f aca="false">ROUND(F513/G513*100,0)</f>
        <v>68</v>
      </c>
      <c r="I513" s="2" t="str">
        <f aca="false">IF(H513&gt;=workload_config!$B$2,"Overloaded",IF(H513&lt;workload_config!$B$3,"Underutilized","Optimal"))</f>
        <v>Optimal</v>
      </c>
      <c r="J513" s="2" t="n">
        <v>3</v>
      </c>
      <c r="K513" s="2" t="n">
        <v>27</v>
      </c>
      <c r="L513" s="2" t="n">
        <v>0</v>
      </c>
      <c r="M513" s="2" t="n">
        <v>0</v>
      </c>
    </row>
    <row r="514" customFormat="false" ht="15" hidden="false" customHeight="false" outlineLevel="0" collapsed="false">
      <c r="A514" s="2" t="s">
        <v>46</v>
      </c>
      <c r="B514" s="2" t="s">
        <v>197</v>
      </c>
      <c r="C514" s="2" t="s">
        <v>132</v>
      </c>
      <c r="D514" s="2" t="s">
        <v>133</v>
      </c>
      <c r="E514" s="2" t="s">
        <v>119</v>
      </c>
      <c r="F514" s="2" t="n">
        <v>27</v>
      </c>
      <c r="G514" s="2" t="n">
        <v>40</v>
      </c>
      <c r="H514" s="2" t="n">
        <f aca="false">ROUND(F514/G514*100,0)</f>
        <v>68</v>
      </c>
      <c r="I514" s="2" t="str">
        <f aca="false">IF(H514&gt;=workload_config!$B$2,"Overloaded",IF(H514&lt;workload_config!$B$3,"Underutilized","Optimal"))</f>
        <v>Optimal</v>
      </c>
      <c r="J514" s="2" t="n">
        <v>3</v>
      </c>
      <c r="K514" s="2" t="n">
        <v>17</v>
      </c>
      <c r="L514" s="2" t="n">
        <v>10</v>
      </c>
      <c r="M514" s="2" t="n">
        <v>0</v>
      </c>
    </row>
    <row r="515" customFormat="false" ht="15" hidden="false" customHeight="false" outlineLevel="0" collapsed="false">
      <c r="A515" s="2" t="s">
        <v>46</v>
      </c>
      <c r="B515" s="2" t="s">
        <v>197</v>
      </c>
      <c r="C515" s="2" t="s">
        <v>134</v>
      </c>
      <c r="D515" s="2" t="s">
        <v>135</v>
      </c>
      <c r="E515" s="2" t="s">
        <v>119</v>
      </c>
      <c r="F515" s="2" t="n">
        <v>30</v>
      </c>
      <c r="G515" s="2" t="n">
        <v>40</v>
      </c>
      <c r="H515" s="2" t="n">
        <f aca="false">ROUND(F515/G515*100,0)</f>
        <v>75</v>
      </c>
      <c r="I515" s="2" t="str">
        <f aca="false">IF(H515&gt;=workload_config!$B$2,"Overloaded",IF(H515&lt;workload_config!$B$3,"Underutilized","Optimal"))</f>
        <v>Optimal</v>
      </c>
      <c r="J515" s="2" t="n">
        <v>3</v>
      </c>
      <c r="K515" s="2" t="n">
        <v>20</v>
      </c>
      <c r="L515" s="2" t="n">
        <v>10</v>
      </c>
      <c r="M515" s="2" t="n">
        <v>0</v>
      </c>
    </row>
    <row r="516" customFormat="false" ht="15" hidden="false" customHeight="false" outlineLevel="0" collapsed="false">
      <c r="A516" s="2" t="s">
        <v>46</v>
      </c>
      <c r="B516" s="2" t="s">
        <v>197</v>
      </c>
      <c r="C516" s="2" t="s">
        <v>136</v>
      </c>
      <c r="D516" s="2" t="s">
        <v>137</v>
      </c>
      <c r="E516" s="2" t="s">
        <v>119</v>
      </c>
      <c r="F516" s="2" t="n">
        <v>25</v>
      </c>
      <c r="G516" s="2" t="n">
        <v>40</v>
      </c>
      <c r="H516" s="2" t="n">
        <f aca="false">ROUND(F516/G516*100,0)</f>
        <v>63</v>
      </c>
      <c r="I516" s="2" t="str">
        <f aca="false">IF(H516&gt;=workload_config!$B$2,"Overloaded",IF(H516&lt;workload_config!$B$3,"Underutilized","Optimal"))</f>
        <v>Optimal</v>
      </c>
      <c r="J516" s="2" t="n">
        <v>2</v>
      </c>
      <c r="K516" s="2" t="n">
        <v>25</v>
      </c>
      <c r="L516" s="2" t="n">
        <v>0</v>
      </c>
      <c r="M516" s="2" t="n">
        <v>0</v>
      </c>
    </row>
    <row r="517" customFormat="false" ht="15" hidden="false" customHeight="false" outlineLevel="0" collapsed="false">
      <c r="A517" s="2" t="s">
        <v>46</v>
      </c>
      <c r="B517" s="2" t="s">
        <v>197</v>
      </c>
      <c r="C517" s="2" t="s">
        <v>138</v>
      </c>
      <c r="D517" s="2" t="s">
        <v>139</v>
      </c>
      <c r="E517" s="2" t="s">
        <v>119</v>
      </c>
      <c r="F517" s="2" t="n">
        <v>14</v>
      </c>
      <c r="G517" s="2" t="n">
        <v>40</v>
      </c>
      <c r="H517" s="2" t="n">
        <f aca="false">ROUND(F517/G517*100,0)</f>
        <v>35</v>
      </c>
      <c r="I517" s="2" t="str">
        <f aca="false">IF(H517&gt;=workload_config!$B$2,"Overloaded",IF(H517&lt;workload_config!$B$3,"Underutilized","Optimal"))</f>
        <v>Underutilized</v>
      </c>
      <c r="J517" s="2" t="n">
        <v>1</v>
      </c>
      <c r="K517" s="2" t="n">
        <v>14</v>
      </c>
      <c r="L517" s="2" t="n">
        <v>0</v>
      </c>
      <c r="M517" s="2" t="n">
        <v>0</v>
      </c>
    </row>
    <row r="518" customFormat="false" ht="15" hidden="false" customHeight="false" outlineLevel="0" collapsed="false">
      <c r="A518" s="2" t="s">
        <v>46</v>
      </c>
      <c r="B518" s="2" t="s">
        <v>197</v>
      </c>
      <c r="C518" s="2" t="s">
        <v>140</v>
      </c>
      <c r="D518" s="2" t="s">
        <v>141</v>
      </c>
      <c r="E518" s="2" t="s">
        <v>119</v>
      </c>
      <c r="F518" s="2" t="n">
        <v>32</v>
      </c>
      <c r="G518" s="2" t="n">
        <v>40</v>
      </c>
      <c r="H518" s="2" t="n">
        <f aca="false">ROUND(F518/G518*100,0)</f>
        <v>80</v>
      </c>
      <c r="I518" s="2" t="str">
        <f aca="false">IF(H518&gt;=workload_config!$B$2,"Overloaded",IF(H518&lt;workload_config!$B$3,"Underutilized","Optimal"))</f>
        <v>Optimal</v>
      </c>
      <c r="J518" s="2" t="n">
        <v>3</v>
      </c>
      <c r="K518" s="2" t="n">
        <v>24</v>
      </c>
      <c r="L518" s="2" t="n">
        <v>8</v>
      </c>
      <c r="M518" s="2" t="n">
        <v>0</v>
      </c>
    </row>
    <row r="519" customFormat="false" ht="15" hidden="false" customHeight="false" outlineLevel="0" collapsed="false">
      <c r="A519" s="2" t="s">
        <v>46</v>
      </c>
      <c r="B519" s="2" t="s">
        <v>197</v>
      </c>
      <c r="C519" s="2" t="s">
        <v>142</v>
      </c>
      <c r="D519" s="2" t="s">
        <v>143</v>
      </c>
      <c r="E519" s="2" t="s">
        <v>119</v>
      </c>
      <c r="F519" s="2" t="n">
        <v>29</v>
      </c>
      <c r="G519" s="2" t="n">
        <v>40</v>
      </c>
      <c r="H519" s="2" t="n">
        <f aca="false">ROUND(F519/G519*100,0)</f>
        <v>73</v>
      </c>
      <c r="I519" s="2" t="str">
        <f aca="false">IF(H519&gt;=workload_config!$B$2,"Overloaded",IF(H519&lt;workload_config!$B$3,"Underutilized","Optimal"))</f>
        <v>Optimal</v>
      </c>
      <c r="J519" s="2" t="n">
        <v>3</v>
      </c>
      <c r="K519" s="2" t="n">
        <v>18</v>
      </c>
      <c r="L519" s="2" t="n">
        <v>11</v>
      </c>
      <c r="M519" s="2" t="n">
        <v>0</v>
      </c>
    </row>
    <row r="520" customFormat="false" ht="15" hidden="false" customHeight="false" outlineLevel="0" collapsed="false">
      <c r="A520" s="2" t="s">
        <v>46</v>
      </c>
      <c r="B520" s="2" t="s">
        <v>197</v>
      </c>
      <c r="C520" s="2" t="s">
        <v>144</v>
      </c>
      <c r="D520" s="2" t="s">
        <v>145</v>
      </c>
      <c r="E520" s="2" t="s">
        <v>146</v>
      </c>
      <c r="F520" s="2" t="n">
        <v>14</v>
      </c>
      <c r="G520" s="2" t="n">
        <v>40</v>
      </c>
      <c r="H520" s="2" t="n">
        <f aca="false">ROUND(F520/G520*100,0)</f>
        <v>35</v>
      </c>
      <c r="I520" s="2" t="str">
        <f aca="false">IF(H520&gt;=workload_config!$B$2,"Overloaded",IF(H520&lt;workload_config!$B$3,"Underutilized","Optimal"))</f>
        <v>Underutilized</v>
      </c>
      <c r="J520" s="2" t="n">
        <v>1</v>
      </c>
      <c r="K520" s="2" t="n">
        <v>14</v>
      </c>
      <c r="L520" s="2" t="n">
        <v>0</v>
      </c>
      <c r="M520" s="2" t="n">
        <v>0</v>
      </c>
    </row>
    <row r="521" customFormat="false" ht="15" hidden="false" customHeight="false" outlineLevel="0" collapsed="false">
      <c r="A521" s="2" t="s">
        <v>46</v>
      </c>
      <c r="B521" s="2" t="s">
        <v>197</v>
      </c>
      <c r="C521" s="2" t="s">
        <v>147</v>
      </c>
      <c r="D521" s="2" t="s">
        <v>148</v>
      </c>
      <c r="E521" s="2" t="s">
        <v>146</v>
      </c>
      <c r="F521" s="2" t="n">
        <v>16</v>
      </c>
      <c r="G521" s="2" t="n">
        <v>40</v>
      </c>
      <c r="H521" s="2" t="n">
        <f aca="false">ROUND(F521/G521*100,0)</f>
        <v>40</v>
      </c>
      <c r="I521" s="2" t="str">
        <f aca="false">IF(H521&gt;=workload_config!$B$2,"Overloaded",IF(H521&lt;workload_config!$B$3,"Underutilized","Optimal"))</f>
        <v>Underutilized</v>
      </c>
      <c r="J521" s="2" t="n">
        <v>2</v>
      </c>
      <c r="K521" s="2" t="n">
        <v>5</v>
      </c>
      <c r="L521" s="2" t="n">
        <v>11</v>
      </c>
      <c r="M521" s="2" t="n">
        <v>0</v>
      </c>
    </row>
    <row r="522" customFormat="false" ht="15" hidden="false" customHeight="false" outlineLevel="0" collapsed="false">
      <c r="A522" s="2" t="s">
        <v>46</v>
      </c>
      <c r="B522" s="2" t="s">
        <v>197</v>
      </c>
      <c r="C522" s="2" t="s">
        <v>149</v>
      </c>
      <c r="D522" s="2" t="s">
        <v>150</v>
      </c>
      <c r="E522" s="2" t="s">
        <v>146</v>
      </c>
      <c r="F522" s="2" t="n">
        <v>27</v>
      </c>
      <c r="G522" s="2" t="n">
        <v>40</v>
      </c>
      <c r="H522" s="2" t="n">
        <f aca="false">ROUND(F522/G522*100,0)</f>
        <v>68</v>
      </c>
      <c r="I522" s="2" t="str">
        <f aca="false">IF(H522&gt;=workload_config!$B$2,"Overloaded",IF(H522&lt;workload_config!$B$3,"Underutilized","Optimal"))</f>
        <v>Optimal</v>
      </c>
      <c r="J522" s="2" t="n">
        <v>3</v>
      </c>
      <c r="K522" s="2" t="n">
        <v>20</v>
      </c>
      <c r="L522" s="2" t="n">
        <v>7</v>
      </c>
      <c r="M522" s="2" t="n">
        <v>0</v>
      </c>
    </row>
    <row r="523" customFormat="false" ht="15" hidden="false" customHeight="false" outlineLevel="0" collapsed="false">
      <c r="A523" s="2" t="s">
        <v>46</v>
      </c>
      <c r="B523" s="2" t="s">
        <v>197</v>
      </c>
      <c r="C523" s="2" t="s">
        <v>151</v>
      </c>
      <c r="D523" s="2" t="s">
        <v>152</v>
      </c>
      <c r="E523" s="2" t="s">
        <v>146</v>
      </c>
      <c r="F523" s="2" t="n">
        <v>30</v>
      </c>
      <c r="G523" s="2" t="n">
        <v>40</v>
      </c>
      <c r="H523" s="2" t="n">
        <f aca="false">ROUND(F523/G523*100,0)</f>
        <v>75</v>
      </c>
      <c r="I523" s="2" t="str">
        <f aca="false">IF(H523&gt;=workload_config!$B$2,"Overloaded",IF(H523&lt;workload_config!$B$3,"Underutilized","Optimal"))</f>
        <v>Optimal</v>
      </c>
      <c r="J523" s="2" t="n">
        <v>3</v>
      </c>
      <c r="K523" s="2" t="n">
        <v>30</v>
      </c>
      <c r="L523" s="2" t="n">
        <v>0</v>
      </c>
      <c r="M523" s="2" t="n">
        <v>0</v>
      </c>
    </row>
    <row r="524" customFormat="false" ht="15" hidden="false" customHeight="false" outlineLevel="0" collapsed="false">
      <c r="A524" s="2" t="s">
        <v>46</v>
      </c>
      <c r="B524" s="2" t="s">
        <v>197</v>
      </c>
      <c r="C524" s="2" t="s">
        <v>153</v>
      </c>
      <c r="D524" s="2" t="s">
        <v>154</v>
      </c>
      <c r="E524" s="2" t="s">
        <v>146</v>
      </c>
      <c r="F524" s="2" t="n">
        <v>24</v>
      </c>
      <c r="G524" s="2" t="n">
        <v>40</v>
      </c>
      <c r="H524" s="2" t="n">
        <f aca="false">ROUND(F524/G524*100,0)</f>
        <v>60</v>
      </c>
      <c r="I524" s="2" t="str">
        <f aca="false">IF(H524&gt;=workload_config!$B$2,"Overloaded",IF(H524&lt;workload_config!$B$3,"Underutilized","Optimal"))</f>
        <v>Optimal</v>
      </c>
      <c r="J524" s="2" t="n">
        <v>2</v>
      </c>
      <c r="K524" s="2" t="n">
        <v>24</v>
      </c>
      <c r="L524" s="2" t="n">
        <v>0</v>
      </c>
      <c r="M524" s="2" t="n">
        <v>0</v>
      </c>
    </row>
    <row r="525" customFormat="false" ht="15" hidden="false" customHeight="false" outlineLevel="0" collapsed="false">
      <c r="A525" s="2" t="s">
        <v>46</v>
      </c>
      <c r="B525" s="2" t="s">
        <v>197</v>
      </c>
      <c r="C525" s="2" t="s">
        <v>155</v>
      </c>
      <c r="D525" s="2" t="s">
        <v>156</v>
      </c>
      <c r="E525" s="2" t="s">
        <v>146</v>
      </c>
      <c r="F525" s="2" t="n">
        <v>40</v>
      </c>
      <c r="G525" s="2" t="n">
        <v>40</v>
      </c>
      <c r="H525" s="2" t="n">
        <f aca="false">ROUND(F525/G525*100,0)</f>
        <v>100</v>
      </c>
      <c r="I525" s="2" t="str">
        <f aca="false">IF(H525&gt;=workload_config!$B$2,"Overloaded",IF(H525&lt;workload_config!$B$3,"Underutilized","Optimal"))</f>
        <v>Overloaded</v>
      </c>
      <c r="J525" s="2" t="n">
        <v>4</v>
      </c>
      <c r="K525" s="2" t="n">
        <v>40</v>
      </c>
      <c r="L525" s="2" t="n">
        <v>0</v>
      </c>
      <c r="M525" s="2" t="n">
        <v>0</v>
      </c>
    </row>
    <row r="526" customFormat="false" ht="15" hidden="false" customHeight="false" outlineLevel="0" collapsed="false">
      <c r="A526" s="2" t="s">
        <v>46</v>
      </c>
      <c r="B526" s="2" t="s">
        <v>197</v>
      </c>
      <c r="C526" s="2" t="s">
        <v>157</v>
      </c>
      <c r="D526" s="2" t="s">
        <v>158</v>
      </c>
      <c r="E526" s="2" t="s">
        <v>146</v>
      </c>
      <c r="F526" s="2" t="n">
        <v>27</v>
      </c>
      <c r="G526" s="2" t="n">
        <v>40</v>
      </c>
      <c r="H526" s="2" t="n">
        <f aca="false">ROUND(F526/G526*100,0)</f>
        <v>68</v>
      </c>
      <c r="I526" s="2" t="str">
        <f aca="false">IF(H526&gt;=workload_config!$B$2,"Overloaded",IF(H526&lt;workload_config!$B$3,"Underutilized","Optimal"))</f>
        <v>Optimal</v>
      </c>
      <c r="J526" s="2" t="n">
        <v>3</v>
      </c>
      <c r="K526" s="2" t="n">
        <v>27</v>
      </c>
      <c r="L526" s="2" t="n">
        <v>0</v>
      </c>
      <c r="M526" s="2" t="n">
        <v>0</v>
      </c>
    </row>
    <row r="527" customFormat="false" ht="15" hidden="false" customHeight="false" outlineLevel="0" collapsed="false">
      <c r="A527" s="2" t="s">
        <v>46</v>
      </c>
      <c r="B527" s="2" t="s">
        <v>197</v>
      </c>
      <c r="C527" s="2" t="s">
        <v>159</v>
      </c>
      <c r="D527" s="2" t="s">
        <v>160</v>
      </c>
      <c r="E527" s="2" t="s">
        <v>146</v>
      </c>
      <c r="F527" s="2" t="n">
        <v>30</v>
      </c>
      <c r="G527" s="2" t="n">
        <v>40</v>
      </c>
      <c r="H527" s="2" t="n">
        <f aca="false">ROUND(F527/G527*100,0)</f>
        <v>75</v>
      </c>
      <c r="I527" s="2" t="str">
        <f aca="false">IF(H527&gt;=workload_config!$B$2,"Overloaded",IF(H527&lt;workload_config!$B$3,"Underutilized","Optimal"))</f>
        <v>Optimal</v>
      </c>
      <c r="J527" s="2" t="n">
        <v>3</v>
      </c>
      <c r="K527" s="2" t="n">
        <v>30</v>
      </c>
      <c r="L527" s="2" t="n">
        <v>0</v>
      </c>
      <c r="M527" s="2" t="n">
        <v>0</v>
      </c>
    </row>
    <row r="528" customFormat="false" ht="15" hidden="false" customHeight="false" outlineLevel="0" collapsed="false">
      <c r="A528" s="2" t="s">
        <v>46</v>
      </c>
      <c r="B528" s="2" t="s">
        <v>197</v>
      </c>
      <c r="C528" s="2" t="s">
        <v>161</v>
      </c>
      <c r="D528" s="2" t="s">
        <v>162</v>
      </c>
      <c r="E528" s="2" t="s">
        <v>146</v>
      </c>
      <c r="F528" s="2" t="n">
        <v>25</v>
      </c>
      <c r="G528" s="2" t="n">
        <v>40</v>
      </c>
      <c r="H528" s="2" t="n">
        <f aca="false">ROUND(F528/G528*100,0)</f>
        <v>63</v>
      </c>
      <c r="I528" s="2" t="str">
        <f aca="false">IF(H528&gt;=workload_config!$B$2,"Overloaded",IF(H528&lt;workload_config!$B$3,"Underutilized","Optimal"))</f>
        <v>Optimal</v>
      </c>
      <c r="J528" s="2" t="n">
        <v>2</v>
      </c>
      <c r="K528" s="2" t="n">
        <v>25</v>
      </c>
      <c r="L528" s="2" t="n">
        <v>0</v>
      </c>
      <c r="M528" s="2" t="n">
        <v>0</v>
      </c>
    </row>
    <row r="529" customFormat="false" ht="15" hidden="false" customHeight="false" outlineLevel="0" collapsed="false">
      <c r="A529" s="2" t="s">
        <v>46</v>
      </c>
      <c r="B529" s="2" t="s">
        <v>197</v>
      </c>
      <c r="C529" s="2" t="s">
        <v>163</v>
      </c>
      <c r="D529" s="2" t="s">
        <v>164</v>
      </c>
      <c r="E529" s="2" t="s">
        <v>146</v>
      </c>
      <c r="F529" s="2" t="n">
        <v>32</v>
      </c>
      <c r="G529" s="2" t="n">
        <v>40</v>
      </c>
      <c r="H529" s="2" t="n">
        <f aca="false">ROUND(F529/G529*100,0)</f>
        <v>80</v>
      </c>
      <c r="I529" s="2" t="str">
        <f aca="false">IF(H529&gt;=workload_config!$B$2,"Overloaded",IF(H529&lt;workload_config!$B$3,"Underutilized","Optimal"))</f>
        <v>Optimal</v>
      </c>
      <c r="J529" s="2" t="n">
        <v>3</v>
      </c>
      <c r="K529" s="2" t="n">
        <v>32</v>
      </c>
      <c r="L529" s="2" t="n">
        <v>0</v>
      </c>
      <c r="M529" s="2" t="n">
        <v>0</v>
      </c>
    </row>
    <row r="530" customFormat="false" ht="15" hidden="false" customHeight="false" outlineLevel="0" collapsed="false">
      <c r="A530" s="2" t="s">
        <v>46</v>
      </c>
      <c r="B530" s="2" t="s">
        <v>197</v>
      </c>
      <c r="C530" s="2" t="s">
        <v>165</v>
      </c>
      <c r="D530" s="2" t="s">
        <v>166</v>
      </c>
      <c r="E530" s="2" t="s">
        <v>146</v>
      </c>
      <c r="F530" s="2" t="n">
        <v>29</v>
      </c>
      <c r="G530" s="2" t="n">
        <v>40</v>
      </c>
      <c r="H530" s="2" t="n">
        <f aca="false">ROUND(F530/G530*100,0)</f>
        <v>73</v>
      </c>
      <c r="I530" s="2" t="str">
        <f aca="false">IF(H530&gt;=workload_config!$B$2,"Overloaded",IF(H530&lt;workload_config!$B$3,"Underutilized","Optimal"))</f>
        <v>Optimal</v>
      </c>
      <c r="J530" s="2" t="n">
        <v>3</v>
      </c>
      <c r="K530" s="2" t="n">
        <v>29</v>
      </c>
      <c r="L530" s="2" t="n">
        <v>0</v>
      </c>
      <c r="M530" s="2" t="n">
        <v>0</v>
      </c>
    </row>
    <row r="531" customFormat="false" ht="15" hidden="false" customHeight="false" outlineLevel="0" collapsed="false">
      <c r="A531" s="2" t="s">
        <v>46</v>
      </c>
      <c r="B531" s="2" t="s">
        <v>197</v>
      </c>
      <c r="C531" s="2" t="s">
        <v>167</v>
      </c>
      <c r="D531" s="2" t="s">
        <v>168</v>
      </c>
      <c r="E531" s="2" t="s">
        <v>169</v>
      </c>
      <c r="F531" s="2" t="n">
        <v>35</v>
      </c>
      <c r="G531" s="2" t="n">
        <v>40</v>
      </c>
      <c r="H531" s="2" t="n">
        <f aca="false">ROUND(F531/G531*100,0)</f>
        <v>88</v>
      </c>
      <c r="I531" s="2" t="str">
        <f aca="false">IF(H531&gt;=workload_config!$B$2,"Overloaded",IF(H531&lt;workload_config!$B$3,"Underutilized","Optimal"))</f>
        <v>Overloaded</v>
      </c>
      <c r="J531" s="2" t="n">
        <v>4</v>
      </c>
      <c r="K531" s="2" t="n">
        <v>17</v>
      </c>
      <c r="L531" s="2" t="n">
        <v>18</v>
      </c>
      <c r="M531" s="2" t="n">
        <v>0</v>
      </c>
    </row>
    <row r="532" customFormat="false" ht="15" hidden="false" customHeight="false" outlineLevel="0" collapsed="false">
      <c r="A532" s="2" t="s">
        <v>46</v>
      </c>
      <c r="B532" s="2" t="s">
        <v>197</v>
      </c>
      <c r="C532" s="2" t="s">
        <v>170</v>
      </c>
      <c r="D532" s="2" t="s">
        <v>171</v>
      </c>
      <c r="E532" s="2" t="s">
        <v>169</v>
      </c>
      <c r="F532" s="2" t="n">
        <v>26</v>
      </c>
      <c r="G532" s="2" t="n">
        <v>40</v>
      </c>
      <c r="H532" s="2" t="n">
        <f aca="false">ROUND(F532/G532*100,0)</f>
        <v>65</v>
      </c>
      <c r="I532" s="2" t="str">
        <f aca="false">IF(H532&gt;=workload_config!$B$2,"Overloaded",IF(H532&lt;workload_config!$B$3,"Underutilized","Optimal"))</f>
        <v>Optimal</v>
      </c>
      <c r="J532" s="2" t="n">
        <v>3</v>
      </c>
      <c r="K532" s="2" t="n">
        <v>26</v>
      </c>
      <c r="L532" s="2" t="n">
        <v>0</v>
      </c>
      <c r="M532" s="2" t="n">
        <v>0</v>
      </c>
    </row>
    <row r="533" customFormat="false" ht="15" hidden="false" customHeight="false" outlineLevel="0" collapsed="false">
      <c r="A533" s="2" t="s">
        <v>46</v>
      </c>
      <c r="B533" s="2" t="s">
        <v>197</v>
      </c>
      <c r="C533" s="2" t="s">
        <v>172</v>
      </c>
      <c r="D533" s="2" t="s">
        <v>173</v>
      </c>
      <c r="E533" s="2" t="s">
        <v>169</v>
      </c>
      <c r="F533" s="2" t="n">
        <v>32</v>
      </c>
      <c r="G533" s="2" t="n">
        <v>40</v>
      </c>
      <c r="H533" s="2" t="n">
        <f aca="false">ROUND(F533/G533*100,0)</f>
        <v>80</v>
      </c>
      <c r="I533" s="2" t="str">
        <f aca="false">IF(H533&gt;=workload_config!$B$2,"Overloaded",IF(H533&lt;workload_config!$B$3,"Underutilized","Optimal"))</f>
        <v>Optimal</v>
      </c>
      <c r="J533" s="2" t="n">
        <v>3</v>
      </c>
      <c r="K533" s="2" t="n">
        <v>32</v>
      </c>
      <c r="L533" s="2" t="n">
        <v>0</v>
      </c>
      <c r="M533" s="2" t="n">
        <v>0</v>
      </c>
    </row>
    <row r="534" customFormat="false" ht="15" hidden="false" customHeight="false" outlineLevel="0" collapsed="false">
      <c r="A534" s="2" t="s">
        <v>46</v>
      </c>
      <c r="B534" s="2" t="s">
        <v>197</v>
      </c>
      <c r="C534" s="2" t="s">
        <v>174</v>
      </c>
      <c r="D534" s="2" t="s">
        <v>175</v>
      </c>
      <c r="E534" s="2" t="s">
        <v>169</v>
      </c>
      <c r="F534" s="2" t="n">
        <v>27</v>
      </c>
      <c r="G534" s="2" t="n">
        <v>40</v>
      </c>
      <c r="H534" s="2" t="n">
        <f aca="false">ROUND(F534/G534*100,0)</f>
        <v>68</v>
      </c>
      <c r="I534" s="2" t="str">
        <f aca="false">IF(H534&gt;=workload_config!$B$2,"Overloaded",IF(H534&lt;workload_config!$B$3,"Underutilized","Optimal"))</f>
        <v>Optimal</v>
      </c>
      <c r="J534" s="2" t="n">
        <v>3</v>
      </c>
      <c r="K534" s="2" t="n">
        <v>16</v>
      </c>
      <c r="L534" s="2" t="n">
        <v>11</v>
      </c>
      <c r="M534" s="2" t="n">
        <v>0</v>
      </c>
    </row>
    <row r="535" customFormat="false" ht="15" hidden="false" customHeight="false" outlineLevel="0" collapsed="false">
      <c r="A535" s="2" t="s">
        <v>46</v>
      </c>
      <c r="B535" s="2" t="s">
        <v>197</v>
      </c>
      <c r="C535" s="2" t="s">
        <v>176</v>
      </c>
      <c r="D535" s="2" t="s">
        <v>177</v>
      </c>
      <c r="E535" s="2" t="s">
        <v>169</v>
      </c>
      <c r="F535" s="2" t="n">
        <v>27</v>
      </c>
      <c r="G535" s="2" t="n">
        <v>40</v>
      </c>
      <c r="H535" s="2" t="n">
        <f aca="false">ROUND(F535/G535*100,0)</f>
        <v>68</v>
      </c>
      <c r="I535" s="2" t="str">
        <f aca="false">IF(H535&gt;=workload_config!$B$2,"Overloaded",IF(H535&lt;workload_config!$B$3,"Underutilized","Optimal"))</f>
        <v>Optimal</v>
      </c>
      <c r="J535" s="2" t="n">
        <v>3</v>
      </c>
      <c r="K535" s="2" t="n">
        <v>27</v>
      </c>
      <c r="L535" s="2" t="n">
        <v>0</v>
      </c>
      <c r="M535" s="2" t="n">
        <v>0</v>
      </c>
    </row>
    <row r="536" customFormat="false" ht="15" hidden="false" customHeight="false" outlineLevel="0" collapsed="false">
      <c r="A536" s="2" t="s">
        <v>46</v>
      </c>
      <c r="B536" s="2" t="s">
        <v>197</v>
      </c>
      <c r="C536" s="2" t="s">
        <v>178</v>
      </c>
      <c r="D536" s="2" t="s">
        <v>179</v>
      </c>
      <c r="E536" s="2" t="s">
        <v>169</v>
      </c>
      <c r="F536" s="2" t="n">
        <v>16</v>
      </c>
      <c r="G536" s="2" t="n">
        <v>40</v>
      </c>
      <c r="H536" s="2" t="n">
        <f aca="false">ROUND(F536/G536*100,0)</f>
        <v>40</v>
      </c>
      <c r="I536" s="2" t="str">
        <f aca="false">IF(H536&gt;=workload_config!$B$2,"Overloaded",IF(H536&lt;workload_config!$B$3,"Underutilized","Optimal"))</f>
        <v>Underutilized</v>
      </c>
      <c r="J536" s="2" t="n">
        <v>2</v>
      </c>
      <c r="K536" s="2" t="n">
        <v>6</v>
      </c>
      <c r="L536" s="2" t="n">
        <v>10</v>
      </c>
      <c r="M536" s="2" t="n">
        <v>0</v>
      </c>
    </row>
    <row r="537" customFormat="false" ht="15" hidden="false" customHeight="false" outlineLevel="0" collapsed="false">
      <c r="A537" s="2" t="s">
        <v>46</v>
      </c>
      <c r="B537" s="2" t="s">
        <v>197</v>
      </c>
      <c r="C537" s="2" t="s">
        <v>180</v>
      </c>
      <c r="D537" s="2" t="s">
        <v>181</v>
      </c>
      <c r="E537" s="2" t="s">
        <v>169</v>
      </c>
      <c r="F537" s="2" t="n">
        <v>21</v>
      </c>
      <c r="G537" s="2" t="n">
        <v>32</v>
      </c>
      <c r="H537" s="2" t="n">
        <f aca="false">ROUND(F537/G537*100,0)</f>
        <v>66</v>
      </c>
      <c r="I537" s="2" t="str">
        <f aca="false">IF(H537&gt;=workload_config!$B$2,"Overloaded",IF(H537&lt;workload_config!$B$3,"Underutilized","Optimal"))</f>
        <v>Optimal</v>
      </c>
      <c r="J537" s="2" t="n">
        <v>2</v>
      </c>
      <c r="K537" s="2" t="n">
        <v>21</v>
      </c>
      <c r="L537" s="2" t="n">
        <v>0</v>
      </c>
      <c r="M537" s="2" t="n">
        <v>0</v>
      </c>
    </row>
    <row r="538" customFormat="false" ht="15" hidden="false" customHeight="false" outlineLevel="0" collapsed="false">
      <c r="A538" s="2" t="s">
        <v>46</v>
      </c>
      <c r="B538" s="2" t="s">
        <v>197</v>
      </c>
      <c r="C538" s="2" t="s">
        <v>182</v>
      </c>
      <c r="D538" s="2" t="s">
        <v>183</v>
      </c>
      <c r="E538" s="2" t="s">
        <v>169</v>
      </c>
      <c r="F538" s="2" t="n">
        <v>17</v>
      </c>
      <c r="G538" s="2" t="n">
        <v>20</v>
      </c>
      <c r="H538" s="2" t="n">
        <f aca="false">ROUND(F538/G538*100,0)</f>
        <v>85</v>
      </c>
      <c r="I538" s="2" t="str">
        <f aca="false">IF(H538&gt;=workload_config!$B$2,"Overloaded",IF(H538&lt;workload_config!$B$3,"Underutilized","Optimal"))</f>
        <v>Optimal</v>
      </c>
      <c r="J538" s="2" t="n">
        <v>2</v>
      </c>
      <c r="K538" s="2" t="n">
        <v>17</v>
      </c>
      <c r="L538" s="2" t="n">
        <v>0</v>
      </c>
      <c r="M538" s="2" t="n">
        <v>0</v>
      </c>
    </row>
    <row r="539" customFormat="false" ht="15" hidden="false" customHeight="false" outlineLevel="0" collapsed="false">
      <c r="A539" s="2" t="s">
        <v>46</v>
      </c>
      <c r="B539" s="2" t="s">
        <v>197</v>
      </c>
      <c r="C539" s="2" t="s">
        <v>184</v>
      </c>
      <c r="D539" s="2" t="s">
        <v>185</v>
      </c>
      <c r="E539" s="2" t="s">
        <v>169</v>
      </c>
      <c r="F539" s="2" t="n">
        <v>25</v>
      </c>
      <c r="G539" s="2" t="n">
        <v>32</v>
      </c>
      <c r="H539" s="2" t="n">
        <f aca="false">ROUND(F539/G539*100,0)</f>
        <v>78</v>
      </c>
      <c r="I539" s="2" t="str">
        <f aca="false">IF(H539&gt;=workload_config!$B$2,"Overloaded",IF(H539&lt;workload_config!$B$3,"Underutilized","Optimal"))</f>
        <v>Optimal</v>
      </c>
      <c r="J539" s="2" t="n">
        <v>2</v>
      </c>
      <c r="K539" s="2" t="n">
        <v>25</v>
      </c>
      <c r="L539" s="2" t="n">
        <v>0</v>
      </c>
      <c r="M539" s="2" t="n">
        <v>0</v>
      </c>
    </row>
    <row r="540" customFormat="false" ht="15" hidden="false" customHeight="false" outlineLevel="0" collapsed="false">
      <c r="A540" s="2" t="s">
        <v>46</v>
      </c>
      <c r="B540" s="2" t="s">
        <v>197</v>
      </c>
      <c r="C540" s="2" t="s">
        <v>186</v>
      </c>
      <c r="D540" s="2" t="s">
        <v>187</v>
      </c>
      <c r="E540" s="2" t="s">
        <v>169</v>
      </c>
      <c r="F540" s="2" t="n">
        <v>30</v>
      </c>
      <c r="G540" s="2" t="n">
        <v>40</v>
      </c>
      <c r="H540" s="2" t="n">
        <f aca="false">ROUND(F540/G540*100,0)</f>
        <v>75</v>
      </c>
      <c r="I540" s="2" t="str">
        <f aca="false">IF(H540&gt;=workload_config!$B$2,"Overloaded",IF(H540&lt;workload_config!$B$3,"Underutilized","Optimal"))</f>
        <v>Optimal</v>
      </c>
      <c r="J540" s="2" t="n">
        <v>3</v>
      </c>
      <c r="K540" s="2" t="n">
        <v>19</v>
      </c>
      <c r="L540" s="2" t="n">
        <v>11</v>
      </c>
      <c r="M540" s="2" t="n">
        <v>0</v>
      </c>
    </row>
    <row r="541" customFormat="false" ht="15" hidden="false" customHeight="false" outlineLevel="0" collapsed="false">
      <c r="A541" s="2" t="s">
        <v>46</v>
      </c>
      <c r="B541" s="2" t="s">
        <v>197</v>
      </c>
      <c r="C541" s="2" t="s">
        <v>188</v>
      </c>
      <c r="D541" s="2" t="s">
        <v>189</v>
      </c>
      <c r="E541" s="2" t="s">
        <v>169</v>
      </c>
      <c r="F541" s="2" t="n">
        <v>25</v>
      </c>
      <c r="G541" s="2" t="n">
        <v>40</v>
      </c>
      <c r="H541" s="2" t="n">
        <f aca="false">ROUND(F541/G541*100,0)</f>
        <v>63</v>
      </c>
      <c r="I541" s="2" t="str">
        <f aca="false">IF(H541&gt;=workload_config!$B$2,"Overloaded",IF(H541&lt;workload_config!$B$3,"Underutilized","Optimal"))</f>
        <v>Optimal</v>
      </c>
      <c r="J541" s="2" t="n">
        <v>2</v>
      </c>
      <c r="K541" s="2" t="n">
        <v>12</v>
      </c>
      <c r="L541" s="2" t="n">
        <v>13</v>
      </c>
      <c r="M541" s="2" t="n">
        <v>0</v>
      </c>
    </row>
  </sheetData>
  <autoFilter ref="A1:M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4" min="13" style="0" width="16"/>
    <col collapsed="false" customWidth="true" hidden="false" outlineLevel="0" max="15" min="15" style="0" width="22"/>
    <col collapsed="false" customWidth="true" hidden="false" outlineLevel="0" max="16" min="16" style="0" width="17"/>
    <col collapsed="false" customWidth="true" hidden="false" outlineLevel="0" max="17" min="17" style="0" width="22"/>
    <col collapsed="false" customWidth="true" hidden="false" outlineLevel="0" max="18" min="18" style="0" width="21"/>
    <col collapsed="false" customWidth="true" hidden="false" outlineLevel="0" max="19" min="19" style="0" width="20"/>
    <col collapsed="false" customWidth="true" hidden="false" outlineLevel="0" max="20" min="20" style="0" width="19"/>
    <col collapsed="false" customWidth="true" hidden="false" outlineLevel="0" max="21" min="21" style="0" width="13"/>
    <col collapsed="false" customWidth="true" hidden="false" outlineLevel="0" max="22" min="22" style="0" width="48"/>
    <col collapsed="false" customWidth="true" hidden="false" outlineLevel="0" max="23" min="23" style="0" width="11"/>
  </cols>
  <sheetData>
    <row r="1" customFormat="false" ht="23.85" hidden="false" customHeight="false" outlineLevel="0" collapsed="false">
      <c r="A1" s="4" t="s">
        <v>198</v>
      </c>
      <c r="B1" s="4" t="s">
        <v>199</v>
      </c>
      <c r="C1" s="4" t="s">
        <v>200</v>
      </c>
      <c r="D1" s="4" t="s">
        <v>201</v>
      </c>
      <c r="E1" s="4" t="s">
        <v>202</v>
      </c>
      <c r="F1" s="4" t="s">
        <v>203</v>
      </c>
      <c r="G1" s="4" t="s">
        <v>204</v>
      </c>
      <c r="H1" s="4" t="s">
        <v>205</v>
      </c>
      <c r="I1" s="4" t="s">
        <v>206</v>
      </c>
      <c r="J1" s="4" t="s">
        <v>207</v>
      </c>
      <c r="K1" s="4" t="s">
        <v>208</v>
      </c>
      <c r="L1" s="4" t="s">
        <v>209</v>
      </c>
      <c r="M1" s="4" t="s">
        <v>210</v>
      </c>
      <c r="N1" s="4" t="s">
        <v>211</v>
      </c>
      <c r="O1" s="4" t="s">
        <v>212</v>
      </c>
      <c r="P1" s="4" t="s">
        <v>213</v>
      </c>
      <c r="Q1" s="4" t="s">
        <v>214</v>
      </c>
      <c r="R1" s="4" t="s">
        <v>215</v>
      </c>
      <c r="S1" s="4" t="s">
        <v>216</v>
      </c>
      <c r="T1" s="4" t="s">
        <v>217</v>
      </c>
      <c r="U1" s="4" t="s">
        <v>218</v>
      </c>
      <c r="V1" s="4" t="s">
        <v>219</v>
      </c>
      <c r="W1" s="4" t="s">
        <v>220</v>
      </c>
    </row>
    <row r="2" customFormat="false" ht="15" hidden="false" customHeight="false" outlineLevel="0" collapsed="false">
      <c r="A2" s="2" t="s">
        <v>221</v>
      </c>
      <c r="B2" s="2" t="s">
        <v>46</v>
      </c>
      <c r="C2" s="2" t="s">
        <v>222</v>
      </c>
      <c r="D2" s="2" t="s">
        <v>223</v>
      </c>
      <c r="E2" s="2" t="s">
        <v>224</v>
      </c>
      <c r="F2" s="2" t="s">
        <v>225</v>
      </c>
      <c r="G2" s="2" t="s">
        <v>226</v>
      </c>
      <c r="H2" s="2" t="s">
        <v>227</v>
      </c>
      <c r="I2" s="2" t="n">
        <v>2</v>
      </c>
      <c r="J2" s="2" t="n">
        <v>10</v>
      </c>
      <c r="K2" s="2" t="s">
        <v>122</v>
      </c>
      <c r="L2" s="2" t="s">
        <v>123</v>
      </c>
      <c r="M2" s="2" t="s">
        <v>138</v>
      </c>
      <c r="N2" s="2" t="s">
        <v>139</v>
      </c>
      <c r="O2" s="2" t="n">
        <v>3</v>
      </c>
      <c r="P2" s="2" t="s">
        <v>228</v>
      </c>
      <c r="Q2" s="2" t="n">
        <v>125</v>
      </c>
      <c r="R2" s="2" t="n">
        <v>100</v>
      </c>
      <c r="S2" s="2" t="n">
        <v>35</v>
      </c>
      <c r="T2" s="2" t="n">
        <v>60</v>
      </c>
      <c r="U2" s="2" t="n">
        <v>79</v>
      </c>
      <c r="V2" s="2" t="s">
        <v>229</v>
      </c>
      <c r="W2" s="2" t="s">
        <v>230</v>
      </c>
    </row>
    <row r="3" customFormat="false" ht="15" hidden="false" customHeight="false" outlineLevel="0" collapsed="false">
      <c r="A3" s="2" t="s">
        <v>231</v>
      </c>
      <c r="B3" s="2" t="s">
        <v>46</v>
      </c>
      <c r="C3" s="2" t="s">
        <v>232</v>
      </c>
      <c r="D3" s="2" t="s">
        <v>233</v>
      </c>
      <c r="E3" s="2" t="s">
        <v>224</v>
      </c>
      <c r="F3" s="2" t="s">
        <v>225</v>
      </c>
      <c r="G3" s="2" t="s">
        <v>234</v>
      </c>
      <c r="H3" s="2" t="s">
        <v>235</v>
      </c>
      <c r="I3" s="2" t="n">
        <v>3</v>
      </c>
      <c r="J3" s="2" t="n">
        <v>7</v>
      </c>
      <c r="K3" s="2" t="s">
        <v>122</v>
      </c>
      <c r="L3" s="2" t="s">
        <v>123</v>
      </c>
      <c r="M3" s="2" t="s">
        <v>128</v>
      </c>
      <c r="N3" s="2" t="s">
        <v>129</v>
      </c>
      <c r="O3" s="2" t="n">
        <v>3</v>
      </c>
      <c r="P3" s="2" t="s">
        <v>228</v>
      </c>
      <c r="Q3" s="2" t="n">
        <v>100</v>
      </c>
      <c r="R3" s="2" t="n">
        <v>82</v>
      </c>
      <c r="S3" s="2" t="n">
        <v>60</v>
      </c>
      <c r="T3" s="2" t="n">
        <v>78</v>
      </c>
      <c r="U3" s="2" t="n">
        <v>61</v>
      </c>
      <c r="V3" s="2" t="s">
        <v>236</v>
      </c>
      <c r="W3" s="2" t="s">
        <v>230</v>
      </c>
    </row>
    <row r="4" customFormat="false" ht="15" hidden="false" customHeight="false" outlineLevel="0" collapsed="false">
      <c r="A4" s="2" t="s">
        <v>237</v>
      </c>
      <c r="B4" s="2" t="s">
        <v>46</v>
      </c>
      <c r="C4" s="2" t="s">
        <v>238</v>
      </c>
      <c r="D4" s="2" t="s">
        <v>239</v>
      </c>
      <c r="E4" s="2" t="s">
        <v>240</v>
      </c>
      <c r="F4" s="2" t="s">
        <v>225</v>
      </c>
      <c r="G4" s="2" t="s">
        <v>241</v>
      </c>
      <c r="H4" s="2" t="s">
        <v>242</v>
      </c>
      <c r="I4" s="2" t="n">
        <v>3</v>
      </c>
      <c r="J4" s="2" t="n">
        <v>11</v>
      </c>
      <c r="K4" s="2" t="s">
        <v>65</v>
      </c>
      <c r="L4" s="2" t="s">
        <v>66</v>
      </c>
      <c r="M4" s="2" t="s">
        <v>68</v>
      </c>
      <c r="N4" s="2" t="s">
        <v>69</v>
      </c>
      <c r="O4" s="2" t="n">
        <v>3</v>
      </c>
      <c r="P4" s="2" t="s">
        <v>228</v>
      </c>
      <c r="Q4" s="2" t="n">
        <v>118</v>
      </c>
      <c r="R4" s="2" t="n">
        <v>90</v>
      </c>
      <c r="S4" s="2" t="n">
        <v>40</v>
      </c>
      <c r="T4" s="2" t="n">
        <v>68</v>
      </c>
      <c r="U4" s="2" t="n">
        <v>68</v>
      </c>
      <c r="V4" s="2" t="s">
        <v>243</v>
      </c>
      <c r="W4" s="2" t="s">
        <v>230</v>
      </c>
    </row>
    <row r="5" customFormat="false" ht="15" hidden="false" customHeight="false" outlineLevel="0" collapsed="false">
      <c r="A5" s="2" t="s">
        <v>244</v>
      </c>
      <c r="B5" s="2" t="s">
        <v>46</v>
      </c>
      <c r="C5" s="2" t="s">
        <v>245</v>
      </c>
      <c r="D5" s="2" t="s">
        <v>246</v>
      </c>
      <c r="E5" s="2" t="s">
        <v>247</v>
      </c>
      <c r="F5" s="2" t="s">
        <v>225</v>
      </c>
      <c r="G5" s="2" t="s">
        <v>248</v>
      </c>
      <c r="H5" s="2" t="s">
        <v>249</v>
      </c>
      <c r="I5" s="2" t="n">
        <v>3</v>
      </c>
      <c r="J5" s="2" t="n">
        <v>8</v>
      </c>
      <c r="K5" s="2" t="s">
        <v>65</v>
      </c>
      <c r="L5" s="2" t="s">
        <v>66</v>
      </c>
      <c r="M5" s="2" t="s">
        <v>117</v>
      </c>
      <c r="N5" s="2" t="s">
        <v>118</v>
      </c>
      <c r="O5" s="2" t="n">
        <v>5</v>
      </c>
      <c r="P5" s="2" t="s">
        <v>250</v>
      </c>
      <c r="Q5" s="2" t="n">
        <v>90</v>
      </c>
      <c r="R5" s="2" t="n">
        <v>70</v>
      </c>
      <c r="S5" s="2" t="n">
        <v>50</v>
      </c>
      <c r="T5" s="2" t="n">
        <v>70</v>
      </c>
      <c r="U5" s="2" t="n">
        <v>62</v>
      </c>
      <c r="V5" s="2" t="s">
        <v>251</v>
      </c>
      <c r="W5" s="2" t="s">
        <v>230</v>
      </c>
    </row>
    <row r="6" customFormat="false" ht="15" hidden="false" customHeight="false" outlineLevel="0" collapsed="false">
      <c r="A6" s="2" t="s">
        <v>252</v>
      </c>
      <c r="B6" s="2" t="s">
        <v>46</v>
      </c>
      <c r="C6" s="2" t="s">
        <v>253</v>
      </c>
      <c r="D6" s="2" t="s">
        <v>254</v>
      </c>
      <c r="E6" s="2" t="s">
        <v>255</v>
      </c>
      <c r="F6" s="2" t="s">
        <v>225</v>
      </c>
      <c r="G6" s="2" t="s">
        <v>256</v>
      </c>
      <c r="H6" s="2" t="s">
        <v>257</v>
      </c>
      <c r="I6" s="2" t="n">
        <v>4</v>
      </c>
      <c r="J6" s="2" t="n">
        <v>14</v>
      </c>
      <c r="K6" s="2" t="s">
        <v>70</v>
      </c>
      <c r="L6" s="2" t="s">
        <v>71</v>
      </c>
      <c r="M6" s="2" t="s">
        <v>178</v>
      </c>
      <c r="N6" s="2" t="s">
        <v>179</v>
      </c>
      <c r="O6" s="2" t="n">
        <v>4</v>
      </c>
      <c r="P6" s="2" t="s">
        <v>250</v>
      </c>
      <c r="Q6" s="2" t="n">
        <v>112</v>
      </c>
      <c r="R6" s="2" t="n">
        <v>78</v>
      </c>
      <c r="S6" s="2" t="n">
        <v>40</v>
      </c>
      <c r="T6" s="2" t="n">
        <v>75</v>
      </c>
      <c r="U6" s="2" t="n">
        <v>48</v>
      </c>
      <c r="V6" s="2" t="s">
        <v>258</v>
      </c>
      <c r="W6" s="2" t="s">
        <v>230</v>
      </c>
    </row>
    <row r="7" customFormat="false" ht="15" hidden="false" customHeight="false" outlineLevel="0" collapsed="false">
      <c r="A7" s="2" t="s">
        <v>259</v>
      </c>
      <c r="B7" s="2" t="s">
        <v>46</v>
      </c>
      <c r="C7" s="2" t="s">
        <v>260</v>
      </c>
      <c r="D7" s="2" t="s">
        <v>261</v>
      </c>
      <c r="E7" s="2" t="s">
        <v>262</v>
      </c>
      <c r="F7" s="2" t="s">
        <v>263</v>
      </c>
      <c r="G7" s="2" t="s">
        <v>264</v>
      </c>
      <c r="H7" s="2" t="s">
        <v>265</v>
      </c>
      <c r="I7" s="2" t="n">
        <v>2</v>
      </c>
      <c r="J7" s="2" t="n">
        <v>9</v>
      </c>
      <c r="K7" s="2" t="s">
        <v>155</v>
      </c>
      <c r="L7" s="2" t="s">
        <v>156</v>
      </c>
      <c r="M7" s="2" t="s">
        <v>147</v>
      </c>
      <c r="N7" s="2" t="s">
        <v>148</v>
      </c>
      <c r="O7" s="2" t="n">
        <v>4</v>
      </c>
      <c r="P7" s="2" t="s">
        <v>228</v>
      </c>
      <c r="Q7" s="2" t="n">
        <v>100</v>
      </c>
      <c r="R7" s="2" t="n">
        <v>78</v>
      </c>
      <c r="S7" s="2" t="n">
        <v>40</v>
      </c>
      <c r="T7" s="2" t="n">
        <v>62</v>
      </c>
      <c r="U7" s="2" t="n">
        <v>86</v>
      </c>
      <c r="V7" s="2" t="s">
        <v>266</v>
      </c>
      <c r="W7" s="2" t="s">
        <v>230</v>
      </c>
    </row>
    <row r="8" customFormat="false" ht="15" hidden="false" customHeight="false" outlineLevel="0" collapsed="false">
      <c r="A8" s="2" t="s">
        <v>267</v>
      </c>
      <c r="B8" s="2" t="s">
        <v>46</v>
      </c>
      <c r="C8" s="2" t="s">
        <v>268</v>
      </c>
      <c r="D8" s="2" t="s">
        <v>269</v>
      </c>
      <c r="E8" s="2" t="s">
        <v>247</v>
      </c>
      <c r="F8" s="2" t="s">
        <v>263</v>
      </c>
      <c r="G8" s="2" t="s">
        <v>248</v>
      </c>
      <c r="H8" s="2" t="s">
        <v>249</v>
      </c>
      <c r="I8" s="2" t="n">
        <v>3</v>
      </c>
      <c r="J8" s="2" t="n">
        <v>14</v>
      </c>
      <c r="K8" s="2" t="s">
        <v>72</v>
      </c>
      <c r="L8" s="2" t="s">
        <v>73</v>
      </c>
      <c r="M8" s="2" t="s">
        <v>99</v>
      </c>
      <c r="N8" s="2" t="s">
        <v>100</v>
      </c>
      <c r="O8" s="2" t="n">
        <v>3</v>
      </c>
      <c r="P8" s="2" t="s">
        <v>250</v>
      </c>
      <c r="Q8" s="2" t="n">
        <v>95</v>
      </c>
      <c r="R8" s="2" t="n">
        <v>60</v>
      </c>
      <c r="S8" s="2" t="n">
        <v>30</v>
      </c>
      <c r="T8" s="2" t="n">
        <v>65</v>
      </c>
      <c r="U8" s="2" t="n">
        <v>52</v>
      </c>
      <c r="V8" s="2" t="s">
        <v>270</v>
      </c>
      <c r="W8" s="2" t="s">
        <v>230</v>
      </c>
    </row>
    <row r="9" customFormat="false" ht="15" hidden="false" customHeight="false" outlineLevel="0" collapsed="false">
      <c r="A9" s="2" t="s">
        <v>271</v>
      </c>
      <c r="B9" s="2" t="s">
        <v>46</v>
      </c>
      <c r="C9" s="2" t="s">
        <v>272</v>
      </c>
      <c r="D9" s="2" t="s">
        <v>273</v>
      </c>
      <c r="E9" s="2" t="s">
        <v>247</v>
      </c>
      <c r="F9" s="2" t="s">
        <v>263</v>
      </c>
      <c r="G9" s="2" t="s">
        <v>274</v>
      </c>
      <c r="H9" s="2" t="s">
        <v>275</v>
      </c>
      <c r="I9" s="2" t="n">
        <v>2</v>
      </c>
      <c r="J9" s="2" t="n">
        <v>12</v>
      </c>
      <c r="K9" s="2" t="s">
        <v>109</v>
      </c>
      <c r="L9" s="2" t="s">
        <v>110</v>
      </c>
      <c r="M9" s="2" t="s">
        <v>97</v>
      </c>
      <c r="N9" s="2" t="s">
        <v>98</v>
      </c>
      <c r="O9" s="2" t="n">
        <v>3</v>
      </c>
      <c r="P9" s="2" t="s">
        <v>228</v>
      </c>
      <c r="Q9" s="2" t="n">
        <v>95</v>
      </c>
      <c r="R9" s="2" t="n">
        <v>65</v>
      </c>
      <c r="S9" s="2" t="n">
        <v>50</v>
      </c>
      <c r="T9" s="2" t="n">
        <v>80</v>
      </c>
      <c r="U9" s="2" t="n">
        <v>74</v>
      </c>
      <c r="V9" s="2" t="s">
        <v>276</v>
      </c>
      <c r="W9" s="2" t="s">
        <v>230</v>
      </c>
    </row>
    <row r="10" customFormat="false" ht="15" hidden="false" customHeight="false" outlineLevel="0" collapsed="false">
      <c r="A10" s="2" t="s">
        <v>277</v>
      </c>
      <c r="B10" s="2" t="s">
        <v>46</v>
      </c>
      <c r="C10" s="2" t="s">
        <v>278</v>
      </c>
      <c r="D10" s="2" t="s">
        <v>279</v>
      </c>
      <c r="E10" s="2" t="s">
        <v>240</v>
      </c>
      <c r="F10" s="2" t="s">
        <v>225</v>
      </c>
      <c r="G10" s="2" t="s">
        <v>280</v>
      </c>
      <c r="H10" s="2" t="s">
        <v>281</v>
      </c>
      <c r="I10" s="2" t="n">
        <v>3</v>
      </c>
      <c r="J10" s="2" t="n">
        <v>9</v>
      </c>
      <c r="K10" s="2" t="s">
        <v>103</v>
      </c>
      <c r="L10" s="2" t="s">
        <v>104</v>
      </c>
      <c r="M10" s="2" t="s">
        <v>94</v>
      </c>
      <c r="N10" s="2" t="s">
        <v>95</v>
      </c>
      <c r="O10" s="2" t="n">
        <v>4</v>
      </c>
      <c r="P10" s="2" t="s">
        <v>228</v>
      </c>
      <c r="Q10" s="2" t="n">
        <v>90</v>
      </c>
      <c r="R10" s="2" t="n">
        <v>68</v>
      </c>
      <c r="S10" s="2" t="n">
        <v>38</v>
      </c>
      <c r="T10" s="2" t="n">
        <v>60</v>
      </c>
      <c r="U10" s="2" t="n">
        <v>78</v>
      </c>
      <c r="V10" s="2" t="s">
        <v>282</v>
      </c>
      <c r="W10" s="2" t="s">
        <v>230</v>
      </c>
    </row>
    <row r="11" customFormat="false" ht="15" hidden="false" customHeight="false" outlineLevel="0" collapsed="false">
      <c r="A11" s="2" t="s">
        <v>283</v>
      </c>
      <c r="B11" s="2" t="s">
        <v>46</v>
      </c>
      <c r="C11" s="2" t="s">
        <v>284</v>
      </c>
      <c r="D11" s="2" t="s">
        <v>285</v>
      </c>
      <c r="E11" s="2" t="s">
        <v>286</v>
      </c>
      <c r="F11" s="2" t="s">
        <v>225</v>
      </c>
      <c r="G11" s="2" t="s">
        <v>241</v>
      </c>
      <c r="H11" s="2" t="s">
        <v>242</v>
      </c>
      <c r="I11" s="2" t="n">
        <v>3</v>
      </c>
      <c r="J11" s="2" t="n">
        <v>10</v>
      </c>
      <c r="K11" s="2" t="s">
        <v>126</v>
      </c>
      <c r="L11" s="2" t="s">
        <v>127</v>
      </c>
      <c r="M11" s="2" t="s">
        <v>138</v>
      </c>
      <c r="N11" s="2" t="s">
        <v>139</v>
      </c>
      <c r="O11" s="2" t="n">
        <v>4</v>
      </c>
      <c r="P11" s="2" t="s">
        <v>228</v>
      </c>
      <c r="Q11" s="2" t="n">
        <v>98</v>
      </c>
      <c r="R11" s="2" t="n">
        <v>72</v>
      </c>
      <c r="S11" s="2" t="n">
        <v>60</v>
      </c>
      <c r="T11" s="2" t="n">
        <v>85</v>
      </c>
      <c r="U11" s="2" t="n">
        <v>70</v>
      </c>
      <c r="V11" s="2" t="s">
        <v>287</v>
      </c>
      <c r="W11" s="2" t="s">
        <v>230</v>
      </c>
    </row>
  </sheetData>
  <autoFilter ref="A1:W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29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3"/>
    <col collapsed="false" customWidth="true" hidden="false" outlineLevel="0" max="9" min="8" style="0" width="48"/>
    <col collapsed="false" customWidth="true" hidden="false" outlineLevel="0" max="10" min="10" style="0" width="21"/>
    <col collapsed="false" customWidth="true" hidden="false" outlineLevel="0" max="11" min="11" style="0" width="23"/>
    <col collapsed="false" customWidth="true" hidden="false" outlineLevel="0" max="14" min="12" style="0" width="48"/>
  </cols>
  <sheetData>
    <row r="1" customFormat="false" ht="15" hidden="false" customHeight="false" outlineLevel="0" collapsed="false">
      <c r="A1" s="4" t="s">
        <v>52</v>
      </c>
      <c r="B1" s="4" t="s">
        <v>288</v>
      </c>
      <c r="C1" s="4" t="s">
        <v>289</v>
      </c>
      <c r="D1" s="4" t="s">
        <v>54</v>
      </c>
      <c r="E1" s="4" t="s">
        <v>290</v>
      </c>
      <c r="F1" s="4" t="s">
        <v>56</v>
      </c>
      <c r="G1" s="4" t="s">
        <v>291</v>
      </c>
      <c r="H1" s="4" t="s">
        <v>292</v>
      </c>
      <c r="I1" s="4" t="s">
        <v>293</v>
      </c>
      <c r="J1" s="4" t="s">
        <v>294</v>
      </c>
      <c r="K1" s="4" t="s">
        <v>295</v>
      </c>
      <c r="L1" s="4" t="s">
        <v>296</v>
      </c>
      <c r="M1" s="4" t="s">
        <v>297</v>
      </c>
      <c r="N1" s="4" t="s">
        <v>298</v>
      </c>
    </row>
    <row r="2" customFormat="false" ht="15" hidden="false" customHeight="false" outlineLevel="0" collapsed="false">
      <c r="A2" s="2" t="s">
        <v>122</v>
      </c>
      <c r="B2" s="2" t="s">
        <v>123</v>
      </c>
      <c r="C2" s="2" t="s">
        <v>299</v>
      </c>
      <c r="D2" s="2" t="s">
        <v>119</v>
      </c>
      <c r="E2" s="2" t="n">
        <v>50</v>
      </c>
      <c r="F2" s="2" t="n">
        <v>40</v>
      </c>
      <c r="G2" s="2" t="n">
        <f aca="false">ROUND(E2/F2*100,0)</f>
        <v>125</v>
      </c>
      <c r="H2" s="2" t="n">
        <f aca="false">SUMIFS(rebalance_recommendations!$J:$J,rebalance_recommendations!$K:$K,A2)</f>
        <v>17</v>
      </c>
      <c r="I2" s="2" t="n">
        <f aca="false">SUMIFS(rebalance_recommendations!$J:$J,rebalance_recommendations!$M:$M,A2)</f>
        <v>0</v>
      </c>
      <c r="J2" s="2" t="n">
        <f aca="false">E2-H2+I2</f>
        <v>33</v>
      </c>
      <c r="K2" s="2" t="n">
        <f aca="false">ROUND(J2/F2*100,0)</f>
        <v>83</v>
      </c>
      <c r="L2" s="2" t="str">
        <f aca="false">IF(G2&gt;=workload_config!$B$2,"Overloaded",IF(G2&lt;workload_config!$B$3,"Underutilized","Optimal"))</f>
        <v>Overloaded</v>
      </c>
      <c r="M2" s="2" t="str">
        <f aca="false">IF(K2&gt;=workload_config!$B$2,"Overloaded",IF(K2&lt;workload_config!$B$3,"Underutilized","Optimal"))</f>
        <v>Optimal</v>
      </c>
      <c r="N2" s="2" t="n">
        <f aca="false">MAX(0,ROUND(F2*workload_config!$B$4/100-J2,0))</f>
        <v>0</v>
      </c>
    </row>
    <row r="3" customFormat="false" ht="15" hidden="false" customHeight="false" outlineLevel="0" collapsed="false">
      <c r="A3" s="2" t="s">
        <v>65</v>
      </c>
      <c r="B3" s="2" t="s">
        <v>66</v>
      </c>
      <c r="C3" s="2" t="s">
        <v>300</v>
      </c>
      <c r="D3" s="2" t="s">
        <v>67</v>
      </c>
      <c r="E3" s="2" t="n">
        <v>47</v>
      </c>
      <c r="F3" s="2" t="n">
        <v>40</v>
      </c>
      <c r="G3" s="2" t="n">
        <f aca="false">ROUND(E3/F3*100,0)</f>
        <v>118</v>
      </c>
      <c r="H3" s="2" t="n">
        <f aca="false">SUMIFS(rebalance_recommendations!$J:$J,rebalance_recommendations!$K:$K,A3)</f>
        <v>19</v>
      </c>
      <c r="I3" s="2" t="n">
        <f aca="false">SUMIFS(rebalance_recommendations!$J:$J,rebalance_recommendations!$M:$M,A3)</f>
        <v>0</v>
      </c>
      <c r="J3" s="2" t="n">
        <f aca="false">E3-H3+I3</f>
        <v>28</v>
      </c>
      <c r="K3" s="2" t="n">
        <f aca="false">ROUND(J3/F3*100,0)</f>
        <v>70</v>
      </c>
      <c r="L3" s="2" t="str">
        <f aca="false">IF(G3&gt;=workload_config!$B$2,"Overloaded",IF(G3&lt;workload_config!$B$3,"Underutilized","Optimal"))</f>
        <v>Overloaded</v>
      </c>
      <c r="M3" s="2" t="str">
        <f aca="false">IF(K3&gt;=workload_config!$B$2,"Overloaded",IF(K3&lt;workload_config!$B$3,"Underutilized","Optimal"))</f>
        <v>Optimal</v>
      </c>
      <c r="N3" s="2" t="n">
        <f aca="false">MAX(0,ROUND(F3*workload_config!$B$4/100-J3,0))</f>
        <v>4</v>
      </c>
    </row>
    <row r="4" customFormat="false" ht="15" hidden="false" customHeight="false" outlineLevel="0" collapsed="false">
      <c r="A4" s="2" t="s">
        <v>70</v>
      </c>
      <c r="B4" s="2" t="s">
        <v>71</v>
      </c>
      <c r="C4" s="2" t="s">
        <v>300</v>
      </c>
      <c r="D4" s="2" t="s">
        <v>67</v>
      </c>
      <c r="E4" s="2" t="n">
        <v>45</v>
      </c>
      <c r="F4" s="2" t="n">
        <v>40</v>
      </c>
      <c r="G4" s="2" t="n">
        <f aca="false">ROUND(E4/F4*100,0)</f>
        <v>113</v>
      </c>
      <c r="H4" s="2" t="n">
        <f aca="false">SUMIFS(rebalance_recommendations!$J:$J,rebalance_recommendations!$K:$K,A4)</f>
        <v>14</v>
      </c>
      <c r="I4" s="2" t="n">
        <f aca="false">SUMIFS(rebalance_recommendations!$J:$J,rebalance_recommendations!$M:$M,A4)</f>
        <v>0</v>
      </c>
      <c r="J4" s="2" t="n">
        <f aca="false">E4-H4+I4</f>
        <v>31</v>
      </c>
      <c r="K4" s="2" t="n">
        <f aca="false">ROUND(J4/F4*100,0)</f>
        <v>78</v>
      </c>
      <c r="L4" s="2" t="str">
        <f aca="false">IF(G4&gt;=workload_config!$B$2,"Overloaded",IF(G4&lt;workload_config!$B$3,"Underutilized","Optimal"))</f>
        <v>Overloaded</v>
      </c>
      <c r="M4" s="2" t="str">
        <f aca="false">IF(K4&gt;=workload_config!$B$2,"Overloaded",IF(K4&lt;workload_config!$B$3,"Underutilized","Optimal"))</f>
        <v>Optimal</v>
      </c>
      <c r="N4" s="2" t="n">
        <f aca="false">MAX(0,ROUND(F4*workload_config!$B$4/100-J4,0))</f>
        <v>1</v>
      </c>
    </row>
    <row r="5" customFormat="false" ht="15" hidden="false" customHeight="false" outlineLevel="0" collapsed="false">
      <c r="A5" s="2" t="s">
        <v>155</v>
      </c>
      <c r="B5" s="2" t="s">
        <v>156</v>
      </c>
      <c r="C5" s="2" t="s">
        <v>301</v>
      </c>
      <c r="D5" s="2" t="s">
        <v>146</v>
      </c>
      <c r="E5" s="2" t="n">
        <v>40</v>
      </c>
      <c r="F5" s="2" t="n">
        <v>40</v>
      </c>
      <c r="G5" s="2" t="n">
        <f aca="false">ROUND(E5/F5*100,0)</f>
        <v>100</v>
      </c>
      <c r="H5" s="2" t="n">
        <f aca="false">SUMIFS(rebalance_recommendations!$J:$J,rebalance_recommendations!$K:$K,A5)</f>
        <v>9</v>
      </c>
      <c r="I5" s="2" t="n">
        <f aca="false">SUMIFS(rebalance_recommendations!$J:$J,rebalance_recommendations!$M:$M,A5)</f>
        <v>0</v>
      </c>
      <c r="J5" s="2" t="n">
        <f aca="false">E5-H5+I5</f>
        <v>31</v>
      </c>
      <c r="K5" s="2" t="n">
        <f aca="false">ROUND(J5/F5*100,0)</f>
        <v>78</v>
      </c>
      <c r="L5" s="2" t="str">
        <f aca="false">IF(G5&gt;=workload_config!$B$2,"Overloaded",IF(G5&lt;workload_config!$B$3,"Underutilized","Optimal"))</f>
        <v>Overloaded</v>
      </c>
      <c r="M5" s="2" t="str">
        <f aca="false">IF(K5&gt;=workload_config!$B$2,"Overloaded",IF(K5&lt;workload_config!$B$3,"Underutilized","Optimal"))</f>
        <v>Optimal</v>
      </c>
      <c r="N5" s="2" t="n">
        <f aca="false">MAX(0,ROUND(F5*workload_config!$B$4/100-J5,0))</f>
        <v>1</v>
      </c>
    </row>
    <row r="6" customFormat="false" ht="15" hidden="false" customHeight="false" outlineLevel="0" collapsed="false">
      <c r="A6" s="2" t="s">
        <v>126</v>
      </c>
      <c r="B6" s="2" t="s">
        <v>127</v>
      </c>
      <c r="C6" s="2" t="s">
        <v>302</v>
      </c>
      <c r="D6" s="2" t="s">
        <v>119</v>
      </c>
      <c r="E6" s="2" t="n">
        <v>39</v>
      </c>
      <c r="F6" s="2" t="n">
        <v>40</v>
      </c>
      <c r="G6" s="2" t="n">
        <f aca="false">ROUND(E6/F6*100,0)</f>
        <v>98</v>
      </c>
      <c r="H6" s="2" t="n">
        <f aca="false">SUMIFS(rebalance_recommendations!$J:$J,rebalance_recommendations!$K:$K,A6)</f>
        <v>10</v>
      </c>
      <c r="I6" s="2" t="n">
        <f aca="false">SUMIFS(rebalance_recommendations!$J:$J,rebalance_recommendations!$M:$M,A6)</f>
        <v>0</v>
      </c>
      <c r="J6" s="2" t="n">
        <f aca="false">E6-H6+I6</f>
        <v>29</v>
      </c>
      <c r="K6" s="2" t="n">
        <f aca="false">ROUND(J6/F6*100,0)</f>
        <v>73</v>
      </c>
      <c r="L6" s="2" t="str">
        <f aca="false">IF(G6&gt;=workload_config!$B$2,"Overloaded",IF(G6&lt;workload_config!$B$3,"Underutilized","Optimal"))</f>
        <v>Overloaded</v>
      </c>
      <c r="M6" s="2" t="str">
        <f aca="false">IF(K6&gt;=workload_config!$B$2,"Overloaded",IF(K6&lt;workload_config!$B$3,"Underutilized","Optimal"))</f>
        <v>Optimal</v>
      </c>
      <c r="N6" s="2" t="n">
        <f aca="false">MAX(0,ROUND(F6*workload_config!$B$4/100-J6,0))</f>
        <v>3</v>
      </c>
    </row>
    <row r="7" customFormat="false" ht="15" hidden="false" customHeight="false" outlineLevel="0" collapsed="false">
      <c r="A7" s="2" t="s">
        <v>72</v>
      </c>
      <c r="B7" s="2" t="s">
        <v>73</v>
      </c>
      <c r="C7" s="2" t="s">
        <v>303</v>
      </c>
      <c r="D7" s="2" t="s">
        <v>67</v>
      </c>
      <c r="E7" s="2" t="n">
        <v>38</v>
      </c>
      <c r="F7" s="2" t="n">
        <v>40</v>
      </c>
      <c r="G7" s="2" t="n">
        <f aca="false">ROUND(E7/F7*100,0)</f>
        <v>95</v>
      </c>
      <c r="H7" s="2" t="n">
        <f aca="false">SUMIFS(rebalance_recommendations!$J:$J,rebalance_recommendations!$K:$K,A7)</f>
        <v>14</v>
      </c>
      <c r="I7" s="2" t="n">
        <f aca="false">SUMIFS(rebalance_recommendations!$J:$J,rebalance_recommendations!$M:$M,A7)</f>
        <v>0</v>
      </c>
      <c r="J7" s="2" t="n">
        <f aca="false">E7-H7+I7</f>
        <v>24</v>
      </c>
      <c r="K7" s="2" t="n">
        <f aca="false">ROUND(J7/F7*100,0)</f>
        <v>60</v>
      </c>
      <c r="L7" s="2" t="str">
        <f aca="false">IF(G7&gt;=workload_config!$B$2,"Overloaded",IF(G7&lt;workload_config!$B$3,"Underutilized","Optimal"))</f>
        <v>Overloaded</v>
      </c>
      <c r="M7" s="2" t="str">
        <f aca="false">IF(K7&gt;=workload_config!$B$2,"Overloaded",IF(K7&lt;workload_config!$B$3,"Underutilized","Optimal"))</f>
        <v>Optimal</v>
      </c>
      <c r="N7" s="2" t="n">
        <f aca="false">MAX(0,ROUND(F7*workload_config!$B$4/100-J7,0))</f>
        <v>8</v>
      </c>
    </row>
    <row r="8" customFormat="false" ht="15" hidden="false" customHeight="false" outlineLevel="0" collapsed="false">
      <c r="A8" s="2" t="s">
        <v>109</v>
      </c>
      <c r="B8" s="2" t="s">
        <v>110</v>
      </c>
      <c r="C8" s="2" t="s">
        <v>304</v>
      </c>
      <c r="D8" s="2" t="s">
        <v>96</v>
      </c>
      <c r="E8" s="2" t="n">
        <v>38</v>
      </c>
      <c r="F8" s="2" t="n">
        <v>40</v>
      </c>
      <c r="G8" s="2" t="n">
        <f aca="false">ROUND(E8/F8*100,0)</f>
        <v>95</v>
      </c>
      <c r="H8" s="2" t="n">
        <f aca="false">SUMIFS(rebalance_recommendations!$J:$J,rebalance_recommendations!$K:$K,A8)</f>
        <v>12</v>
      </c>
      <c r="I8" s="2" t="n">
        <f aca="false">SUMIFS(rebalance_recommendations!$J:$J,rebalance_recommendations!$M:$M,A8)</f>
        <v>0</v>
      </c>
      <c r="J8" s="2" t="n">
        <f aca="false">E8-H8+I8</f>
        <v>26</v>
      </c>
      <c r="K8" s="2" t="n">
        <f aca="false">ROUND(J8/F8*100,0)</f>
        <v>65</v>
      </c>
      <c r="L8" s="2" t="str">
        <f aca="false">IF(G8&gt;=workload_config!$B$2,"Overloaded",IF(G8&lt;workload_config!$B$3,"Underutilized","Optimal"))</f>
        <v>Overloaded</v>
      </c>
      <c r="M8" s="2" t="str">
        <f aca="false">IF(K8&gt;=workload_config!$B$2,"Overloaded",IF(K8&lt;workload_config!$B$3,"Underutilized","Optimal"))</f>
        <v>Optimal</v>
      </c>
      <c r="N8" s="2" t="n">
        <f aca="false">MAX(0,ROUND(F8*workload_config!$B$4/100-J8,0))</f>
        <v>6</v>
      </c>
    </row>
    <row r="9" customFormat="false" ht="15" hidden="false" customHeight="false" outlineLevel="0" collapsed="false">
      <c r="A9" s="2" t="s">
        <v>103</v>
      </c>
      <c r="B9" s="2" t="s">
        <v>104</v>
      </c>
      <c r="C9" s="2" t="s">
        <v>304</v>
      </c>
      <c r="D9" s="2" t="s">
        <v>96</v>
      </c>
      <c r="E9" s="2" t="n">
        <v>36</v>
      </c>
      <c r="F9" s="2" t="n">
        <v>40</v>
      </c>
      <c r="G9" s="2" t="n">
        <f aca="false">ROUND(E9/F9*100,0)</f>
        <v>90</v>
      </c>
      <c r="H9" s="2" t="n">
        <f aca="false">SUMIFS(rebalance_recommendations!$J:$J,rebalance_recommendations!$K:$K,A9)</f>
        <v>9</v>
      </c>
      <c r="I9" s="2" t="n">
        <f aca="false">SUMIFS(rebalance_recommendations!$J:$J,rebalance_recommendations!$M:$M,A9)</f>
        <v>0</v>
      </c>
      <c r="J9" s="2" t="n">
        <f aca="false">E9-H9+I9</f>
        <v>27</v>
      </c>
      <c r="K9" s="2" t="n">
        <f aca="false">ROUND(J9/F9*100,0)</f>
        <v>68</v>
      </c>
      <c r="L9" s="2" t="str">
        <f aca="false">IF(G9&gt;=workload_config!$B$2,"Overloaded",IF(G9&lt;workload_config!$B$3,"Underutilized","Optimal"))</f>
        <v>Overloaded</v>
      </c>
      <c r="M9" s="2" t="str">
        <f aca="false">IF(K9&gt;=workload_config!$B$2,"Overloaded",IF(K9&lt;workload_config!$B$3,"Underutilized","Optimal"))</f>
        <v>Optimal</v>
      </c>
      <c r="N9" s="2" t="n">
        <f aca="false">MAX(0,ROUND(F9*workload_config!$B$4/100-J9,0))</f>
        <v>5</v>
      </c>
    </row>
    <row r="10" customFormat="false" ht="15" hidden="false" customHeight="false" outlineLevel="0" collapsed="false">
      <c r="A10" s="2" t="s">
        <v>167</v>
      </c>
      <c r="B10" s="2" t="s">
        <v>168</v>
      </c>
      <c r="C10" s="2" t="s">
        <v>305</v>
      </c>
      <c r="D10" s="2" t="s">
        <v>169</v>
      </c>
      <c r="E10" s="2" t="n">
        <v>35</v>
      </c>
      <c r="F10" s="2" t="n">
        <v>40</v>
      </c>
      <c r="G10" s="2" t="n">
        <f aca="false">ROUND(E10/F10*100,0)</f>
        <v>88</v>
      </c>
      <c r="H10" s="2" t="n">
        <f aca="false">SUMIFS(rebalance_recommendations!$J:$J,rebalance_recommendations!$K:$K,A10)</f>
        <v>0</v>
      </c>
      <c r="I10" s="2" t="n">
        <f aca="false">SUMIFS(rebalance_recommendations!$J:$J,rebalance_recommendations!$M:$M,A10)</f>
        <v>0</v>
      </c>
      <c r="J10" s="2" t="n">
        <f aca="false">E10-H10+I10</f>
        <v>35</v>
      </c>
      <c r="K10" s="2" t="n">
        <f aca="false">ROUND(J10/F10*100,0)</f>
        <v>88</v>
      </c>
      <c r="L10" s="2" t="str">
        <f aca="false">IF(G10&gt;=workload_config!$B$2,"Overloaded",IF(G10&lt;workload_config!$B$3,"Underutilized","Optimal"))</f>
        <v>Overloaded</v>
      </c>
      <c r="M10" s="2" t="str">
        <f aca="false">IF(K10&gt;=workload_config!$B$2,"Overloaded",IF(K10&lt;workload_config!$B$3,"Underutilized","Optimal"))</f>
        <v>Overloaded</v>
      </c>
      <c r="N10" s="2" t="n">
        <f aca="false">MAX(0,ROUND(F10*workload_config!$B$4/100-J10,0))</f>
        <v>0</v>
      </c>
    </row>
    <row r="11" customFormat="false" ht="15" hidden="false" customHeight="false" outlineLevel="0" collapsed="false">
      <c r="A11" s="2" t="s">
        <v>76</v>
      </c>
      <c r="B11" s="2" t="s">
        <v>77</v>
      </c>
      <c r="C11" s="2" t="s">
        <v>306</v>
      </c>
      <c r="D11" s="2" t="s">
        <v>67</v>
      </c>
      <c r="E11" s="2" t="n">
        <v>34</v>
      </c>
      <c r="F11" s="2" t="n">
        <v>40</v>
      </c>
      <c r="G11" s="2" t="n">
        <f aca="false">ROUND(E11/F11*100,0)</f>
        <v>85</v>
      </c>
      <c r="H11" s="2" t="n">
        <f aca="false">SUMIFS(rebalance_recommendations!$J:$J,rebalance_recommendations!$K:$K,A11)</f>
        <v>0</v>
      </c>
      <c r="I11" s="2" t="n">
        <f aca="false">SUMIFS(rebalance_recommendations!$J:$J,rebalance_recommendations!$M:$M,A11)</f>
        <v>0</v>
      </c>
      <c r="J11" s="2" t="n">
        <f aca="false">E11-H11+I11</f>
        <v>34</v>
      </c>
      <c r="K11" s="2" t="n">
        <f aca="false">ROUND(J11/F11*100,0)</f>
        <v>85</v>
      </c>
      <c r="L11" s="2" t="str">
        <f aca="false">IF(G11&gt;=workload_config!$B$2,"Overloaded",IF(G11&lt;workload_config!$B$3,"Underutilized","Optimal"))</f>
        <v>Optimal</v>
      </c>
      <c r="M11" s="2" t="str">
        <f aca="false">IF(K11&gt;=workload_config!$B$2,"Overloaded",IF(K11&lt;workload_config!$B$3,"Underutilized","Optimal"))</f>
        <v>Optimal</v>
      </c>
      <c r="N11" s="2" t="n">
        <f aca="false">MAX(0,ROUND(F11*workload_config!$B$4/100-J11,0))</f>
        <v>0</v>
      </c>
    </row>
    <row r="12" customFormat="false" ht="15" hidden="false" customHeight="false" outlineLevel="0" collapsed="false">
      <c r="A12" s="2" t="s">
        <v>182</v>
      </c>
      <c r="B12" s="2" t="s">
        <v>183</v>
      </c>
      <c r="C12" s="2" t="s">
        <v>307</v>
      </c>
      <c r="D12" s="2" t="s">
        <v>169</v>
      </c>
      <c r="E12" s="2" t="n">
        <v>17</v>
      </c>
      <c r="F12" s="2" t="n">
        <v>20</v>
      </c>
      <c r="G12" s="2" t="n">
        <f aca="false">ROUND(E12/F12*100,0)</f>
        <v>85</v>
      </c>
      <c r="H12" s="2" t="n">
        <f aca="false">SUMIFS(rebalance_recommendations!$J:$J,rebalance_recommendations!$K:$K,A12)</f>
        <v>0</v>
      </c>
      <c r="I12" s="2" t="n">
        <f aca="false">SUMIFS(rebalance_recommendations!$J:$J,rebalance_recommendations!$M:$M,A12)</f>
        <v>0</v>
      </c>
      <c r="J12" s="2" t="n">
        <f aca="false">E12-H12+I12</f>
        <v>17</v>
      </c>
      <c r="K12" s="2" t="n">
        <f aca="false">ROUND(J12/F12*100,0)</f>
        <v>85</v>
      </c>
      <c r="L12" s="2" t="str">
        <f aca="false">IF(G12&gt;=workload_config!$B$2,"Overloaded",IF(G12&lt;workload_config!$B$3,"Underutilized","Optimal"))</f>
        <v>Optimal</v>
      </c>
      <c r="M12" s="2" t="str">
        <f aca="false">IF(K12&gt;=workload_config!$B$2,"Overloaded",IF(K12&lt;workload_config!$B$3,"Underutilized","Optimal"))</f>
        <v>Optimal</v>
      </c>
      <c r="N12" s="2" t="n">
        <f aca="false">MAX(0,ROUND(F12*workload_config!$B$4/100-J12,0))</f>
        <v>0</v>
      </c>
    </row>
    <row r="13" customFormat="false" ht="15" hidden="false" customHeight="false" outlineLevel="0" collapsed="false">
      <c r="A13" s="2" t="s">
        <v>78</v>
      </c>
      <c r="B13" s="2" t="s">
        <v>79</v>
      </c>
      <c r="C13" s="2" t="s">
        <v>308</v>
      </c>
      <c r="D13" s="2" t="s">
        <v>67</v>
      </c>
      <c r="E13" s="2" t="n">
        <v>33</v>
      </c>
      <c r="F13" s="2" t="n">
        <v>40</v>
      </c>
      <c r="G13" s="2" t="n">
        <f aca="false">ROUND(E13/F13*100,0)</f>
        <v>83</v>
      </c>
      <c r="H13" s="2" t="n">
        <f aca="false">SUMIFS(rebalance_recommendations!$J:$J,rebalance_recommendations!$K:$K,A13)</f>
        <v>0</v>
      </c>
      <c r="I13" s="2" t="n">
        <f aca="false">SUMIFS(rebalance_recommendations!$J:$J,rebalance_recommendations!$M:$M,A13)</f>
        <v>0</v>
      </c>
      <c r="J13" s="2" t="n">
        <f aca="false">E13-H13+I13</f>
        <v>33</v>
      </c>
      <c r="K13" s="2" t="n">
        <f aca="false">ROUND(J13/F13*100,0)</f>
        <v>83</v>
      </c>
      <c r="L13" s="2" t="str">
        <f aca="false">IF(G13&gt;=workload_config!$B$2,"Overloaded",IF(G13&lt;workload_config!$B$3,"Underutilized","Optimal"))</f>
        <v>Optimal</v>
      </c>
      <c r="M13" s="2" t="str">
        <f aca="false">IF(K13&gt;=workload_config!$B$2,"Overloaded",IF(K13&lt;workload_config!$B$3,"Underutilized","Optimal"))</f>
        <v>Optimal</v>
      </c>
      <c r="N13" s="2" t="n">
        <f aca="false">MAX(0,ROUND(F13*workload_config!$B$4/100-J13,0))</f>
        <v>0</v>
      </c>
    </row>
    <row r="14" customFormat="false" ht="15" hidden="false" customHeight="false" outlineLevel="0" collapsed="false">
      <c r="A14" s="2" t="s">
        <v>84</v>
      </c>
      <c r="B14" s="2" t="s">
        <v>85</v>
      </c>
      <c r="C14" s="2" t="s">
        <v>308</v>
      </c>
      <c r="D14" s="2" t="s">
        <v>67</v>
      </c>
      <c r="E14" s="2" t="n">
        <v>33</v>
      </c>
      <c r="F14" s="2" t="n">
        <v>40</v>
      </c>
      <c r="G14" s="2" t="n">
        <f aca="false">ROUND(E14/F14*100,0)</f>
        <v>83</v>
      </c>
      <c r="H14" s="2" t="n">
        <f aca="false">SUMIFS(rebalance_recommendations!$J:$J,rebalance_recommendations!$K:$K,A14)</f>
        <v>0</v>
      </c>
      <c r="I14" s="2" t="n">
        <f aca="false">SUMIFS(rebalance_recommendations!$J:$J,rebalance_recommendations!$M:$M,A14)</f>
        <v>0</v>
      </c>
      <c r="J14" s="2" t="n">
        <f aca="false">E14-H14+I14</f>
        <v>33</v>
      </c>
      <c r="K14" s="2" t="n">
        <f aca="false">ROUND(J14/F14*100,0)</f>
        <v>83</v>
      </c>
      <c r="L14" s="2" t="str">
        <f aca="false">IF(G14&gt;=workload_config!$B$2,"Overloaded",IF(G14&lt;workload_config!$B$3,"Underutilized","Optimal"))</f>
        <v>Optimal</v>
      </c>
      <c r="M14" s="2" t="str">
        <f aca="false">IF(K14&gt;=workload_config!$B$2,"Overloaded",IF(K14&lt;workload_config!$B$3,"Underutilized","Optimal"))</f>
        <v>Optimal</v>
      </c>
      <c r="N14" s="2" t="n">
        <f aca="false">MAX(0,ROUND(F14*workload_config!$B$4/100-J14,0))</f>
        <v>0</v>
      </c>
    </row>
    <row r="15" customFormat="false" ht="15" hidden="false" customHeight="false" outlineLevel="0" collapsed="false">
      <c r="A15" s="2" t="s">
        <v>111</v>
      </c>
      <c r="B15" s="2" t="s">
        <v>112</v>
      </c>
      <c r="C15" s="2" t="s">
        <v>309</v>
      </c>
      <c r="D15" s="2" t="s">
        <v>96</v>
      </c>
      <c r="E15" s="2" t="n">
        <v>32</v>
      </c>
      <c r="F15" s="2" t="n">
        <v>40</v>
      </c>
      <c r="G15" s="2" t="n">
        <f aca="false">ROUND(E15/F15*100,0)</f>
        <v>80</v>
      </c>
      <c r="H15" s="2" t="n">
        <f aca="false">SUMIFS(rebalance_recommendations!$J:$J,rebalance_recommendations!$K:$K,A15)</f>
        <v>0</v>
      </c>
      <c r="I15" s="2" t="n">
        <f aca="false">SUMIFS(rebalance_recommendations!$J:$J,rebalance_recommendations!$M:$M,A15)</f>
        <v>0</v>
      </c>
      <c r="J15" s="2" t="n">
        <f aca="false">E15-H15+I15</f>
        <v>32</v>
      </c>
      <c r="K15" s="2" t="n">
        <f aca="false">ROUND(J15/F15*100,0)</f>
        <v>80</v>
      </c>
      <c r="L15" s="2" t="str">
        <f aca="false">IF(G15&gt;=workload_config!$B$2,"Overloaded",IF(G15&lt;workload_config!$B$3,"Underutilized","Optimal"))</f>
        <v>Optimal</v>
      </c>
      <c r="M15" s="2" t="str">
        <f aca="false">IF(K15&gt;=workload_config!$B$2,"Overloaded",IF(K15&lt;workload_config!$B$3,"Underutilized","Optimal"))</f>
        <v>Optimal</v>
      </c>
      <c r="N15" s="2" t="n">
        <f aca="false">MAX(0,ROUND(F15*workload_config!$B$4/100-J15,0))</f>
        <v>0</v>
      </c>
    </row>
    <row r="16" customFormat="false" ht="15" hidden="false" customHeight="false" outlineLevel="0" collapsed="false">
      <c r="A16" s="2" t="s">
        <v>140</v>
      </c>
      <c r="B16" s="2" t="s">
        <v>141</v>
      </c>
      <c r="C16" s="2" t="s">
        <v>310</v>
      </c>
      <c r="D16" s="2" t="s">
        <v>119</v>
      </c>
      <c r="E16" s="2" t="n">
        <v>32</v>
      </c>
      <c r="F16" s="2" t="n">
        <v>40</v>
      </c>
      <c r="G16" s="2" t="n">
        <f aca="false">ROUND(E16/F16*100,0)</f>
        <v>80</v>
      </c>
      <c r="H16" s="2" t="n">
        <f aca="false">SUMIFS(rebalance_recommendations!$J:$J,rebalance_recommendations!$K:$K,A16)</f>
        <v>0</v>
      </c>
      <c r="I16" s="2" t="n">
        <f aca="false">SUMIFS(rebalance_recommendations!$J:$J,rebalance_recommendations!$M:$M,A16)</f>
        <v>0</v>
      </c>
      <c r="J16" s="2" t="n">
        <f aca="false">E16-H16+I16</f>
        <v>32</v>
      </c>
      <c r="K16" s="2" t="n">
        <f aca="false">ROUND(J16/F16*100,0)</f>
        <v>80</v>
      </c>
      <c r="L16" s="2" t="str">
        <f aca="false">IF(G16&gt;=workload_config!$B$2,"Overloaded",IF(G16&lt;workload_config!$B$3,"Underutilized","Optimal"))</f>
        <v>Optimal</v>
      </c>
      <c r="M16" s="2" t="str">
        <f aca="false">IF(K16&gt;=workload_config!$B$2,"Overloaded",IF(K16&lt;workload_config!$B$3,"Underutilized","Optimal"))</f>
        <v>Optimal</v>
      </c>
      <c r="N16" s="2" t="n">
        <f aca="false">MAX(0,ROUND(F16*workload_config!$B$4/100-J16,0))</f>
        <v>0</v>
      </c>
    </row>
    <row r="17" customFormat="false" ht="15" hidden="false" customHeight="false" outlineLevel="0" collapsed="false">
      <c r="A17" s="2" t="s">
        <v>163</v>
      </c>
      <c r="B17" s="2" t="s">
        <v>164</v>
      </c>
      <c r="C17" s="2" t="s">
        <v>311</v>
      </c>
      <c r="D17" s="2" t="s">
        <v>146</v>
      </c>
      <c r="E17" s="2" t="n">
        <v>32</v>
      </c>
      <c r="F17" s="2" t="n">
        <v>40</v>
      </c>
      <c r="G17" s="2" t="n">
        <f aca="false">ROUND(E17/F17*100,0)</f>
        <v>80</v>
      </c>
      <c r="H17" s="2" t="n">
        <f aca="false">SUMIFS(rebalance_recommendations!$J:$J,rebalance_recommendations!$K:$K,A17)</f>
        <v>0</v>
      </c>
      <c r="I17" s="2" t="n">
        <f aca="false">SUMIFS(rebalance_recommendations!$J:$J,rebalance_recommendations!$M:$M,A17)</f>
        <v>0</v>
      </c>
      <c r="J17" s="2" t="n">
        <f aca="false">E17-H17+I17</f>
        <v>32</v>
      </c>
      <c r="K17" s="2" t="n">
        <f aca="false">ROUND(J17/F17*100,0)</f>
        <v>80</v>
      </c>
      <c r="L17" s="2" t="str">
        <f aca="false">IF(G17&gt;=workload_config!$B$2,"Overloaded",IF(G17&lt;workload_config!$B$3,"Underutilized","Optimal"))</f>
        <v>Optimal</v>
      </c>
      <c r="M17" s="2" t="str">
        <f aca="false">IF(K17&gt;=workload_config!$B$2,"Overloaded",IF(K17&lt;workload_config!$B$3,"Underutilized","Optimal"))</f>
        <v>Optimal</v>
      </c>
      <c r="N17" s="2" t="n">
        <f aca="false">MAX(0,ROUND(F17*workload_config!$B$4/100-J17,0))</f>
        <v>0</v>
      </c>
    </row>
    <row r="18" customFormat="false" ht="15" hidden="false" customHeight="false" outlineLevel="0" collapsed="false">
      <c r="A18" s="2" t="s">
        <v>172</v>
      </c>
      <c r="B18" s="2" t="s">
        <v>173</v>
      </c>
      <c r="C18" s="2" t="s">
        <v>312</v>
      </c>
      <c r="D18" s="2" t="s">
        <v>169</v>
      </c>
      <c r="E18" s="2" t="n">
        <v>32</v>
      </c>
      <c r="F18" s="2" t="n">
        <v>40</v>
      </c>
      <c r="G18" s="2" t="n">
        <f aca="false">ROUND(E18/F18*100,0)</f>
        <v>80</v>
      </c>
      <c r="H18" s="2" t="n">
        <f aca="false">SUMIFS(rebalance_recommendations!$J:$J,rebalance_recommendations!$K:$K,A18)</f>
        <v>0</v>
      </c>
      <c r="I18" s="2" t="n">
        <f aca="false">SUMIFS(rebalance_recommendations!$J:$J,rebalance_recommendations!$M:$M,A18)</f>
        <v>0</v>
      </c>
      <c r="J18" s="2" t="n">
        <f aca="false">E18-H18+I18</f>
        <v>32</v>
      </c>
      <c r="K18" s="2" t="n">
        <f aca="false">ROUND(J18/F18*100,0)</f>
        <v>80</v>
      </c>
      <c r="L18" s="2" t="str">
        <f aca="false">IF(G18&gt;=workload_config!$B$2,"Overloaded",IF(G18&lt;workload_config!$B$3,"Underutilized","Optimal"))</f>
        <v>Optimal</v>
      </c>
      <c r="M18" s="2" t="str">
        <f aca="false">IF(K18&gt;=workload_config!$B$2,"Overloaded",IF(K18&lt;workload_config!$B$3,"Underutilized","Optimal"))</f>
        <v>Optimal</v>
      </c>
      <c r="N18" s="2" t="n">
        <f aca="false">MAX(0,ROUND(F18*workload_config!$B$4/100-J18,0))</f>
        <v>0</v>
      </c>
    </row>
    <row r="19" customFormat="false" ht="15" hidden="false" customHeight="false" outlineLevel="0" collapsed="false">
      <c r="A19" s="2" t="s">
        <v>184</v>
      </c>
      <c r="B19" s="2" t="s">
        <v>185</v>
      </c>
      <c r="C19" s="2" t="s">
        <v>313</v>
      </c>
      <c r="D19" s="2" t="s">
        <v>169</v>
      </c>
      <c r="E19" s="2" t="n">
        <v>25</v>
      </c>
      <c r="F19" s="2" t="n">
        <v>32</v>
      </c>
      <c r="G19" s="2" t="n">
        <f aca="false">ROUND(E19/F19*100,0)</f>
        <v>78</v>
      </c>
      <c r="H19" s="2" t="n">
        <f aca="false">SUMIFS(rebalance_recommendations!$J:$J,rebalance_recommendations!$K:$K,A19)</f>
        <v>0</v>
      </c>
      <c r="I19" s="2" t="n">
        <f aca="false">SUMIFS(rebalance_recommendations!$J:$J,rebalance_recommendations!$M:$M,A19)</f>
        <v>0</v>
      </c>
      <c r="J19" s="2" t="n">
        <f aca="false">E19-H19+I19</f>
        <v>25</v>
      </c>
      <c r="K19" s="2" t="n">
        <f aca="false">ROUND(J19/F19*100,0)</f>
        <v>78</v>
      </c>
      <c r="L19" s="2" t="str">
        <f aca="false">IF(G19&gt;=workload_config!$B$2,"Overloaded",IF(G19&lt;workload_config!$B$3,"Underutilized","Optimal"))</f>
        <v>Optimal</v>
      </c>
      <c r="M19" s="2" t="str">
        <f aca="false">IF(K19&gt;=workload_config!$B$2,"Overloaded",IF(K19&lt;workload_config!$B$3,"Underutilized","Optimal"))</f>
        <v>Optimal</v>
      </c>
      <c r="N19" s="2" t="n">
        <f aca="false">MAX(0,ROUND(F19*workload_config!$B$4/100-J19,0))</f>
        <v>1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306</v>
      </c>
      <c r="D20" s="2" t="s">
        <v>67</v>
      </c>
      <c r="E20" s="2" t="n">
        <v>31</v>
      </c>
      <c r="F20" s="2" t="n">
        <v>40</v>
      </c>
      <c r="G20" s="2" t="n">
        <f aca="false">ROUND(E20/F20*100,0)</f>
        <v>78</v>
      </c>
      <c r="H20" s="2" t="n">
        <f aca="false">SUMIFS(rebalance_recommendations!$J:$J,rebalance_recommendations!$K:$K,A20)</f>
        <v>0</v>
      </c>
      <c r="I20" s="2" t="n">
        <f aca="false">SUMIFS(rebalance_recommendations!$J:$J,rebalance_recommendations!$M:$M,A20)</f>
        <v>0</v>
      </c>
      <c r="J20" s="2" t="n">
        <f aca="false">E20-H20+I20</f>
        <v>31</v>
      </c>
      <c r="K20" s="2" t="n">
        <f aca="false">ROUND(J20/F20*100,0)</f>
        <v>78</v>
      </c>
      <c r="L20" s="2" t="str">
        <f aca="false">IF(G20&gt;=workload_config!$B$2,"Overloaded",IF(G20&lt;workload_config!$B$3,"Underutilized","Optimal"))</f>
        <v>Optimal</v>
      </c>
      <c r="M20" s="2" t="str">
        <f aca="false">IF(K20&gt;=workload_config!$B$2,"Overloaded",IF(K20&lt;workload_config!$B$3,"Underutilized","Optimal"))</f>
        <v>Optimal</v>
      </c>
      <c r="N20" s="2" t="n">
        <f aca="false">MAX(0,ROUND(F20*workload_config!$B$4/100-J20,0))</f>
        <v>1</v>
      </c>
    </row>
    <row r="21" customFormat="false" ht="15" hidden="false" customHeight="false" outlineLevel="0" collapsed="false">
      <c r="A21" s="2" t="s">
        <v>105</v>
      </c>
      <c r="B21" s="2" t="s">
        <v>106</v>
      </c>
      <c r="C21" s="2" t="s">
        <v>309</v>
      </c>
      <c r="D21" s="2" t="s">
        <v>96</v>
      </c>
      <c r="E21" s="2" t="n">
        <v>31</v>
      </c>
      <c r="F21" s="2" t="n">
        <v>40</v>
      </c>
      <c r="G21" s="2" t="n">
        <f aca="false">ROUND(E21/F21*100,0)</f>
        <v>78</v>
      </c>
      <c r="H21" s="2" t="n">
        <f aca="false">SUMIFS(rebalance_recommendations!$J:$J,rebalance_recommendations!$K:$K,A21)</f>
        <v>0</v>
      </c>
      <c r="I21" s="2" t="n">
        <f aca="false">SUMIFS(rebalance_recommendations!$J:$J,rebalance_recommendations!$M:$M,A21)</f>
        <v>0</v>
      </c>
      <c r="J21" s="2" t="n">
        <f aca="false">E21-H21+I21</f>
        <v>31</v>
      </c>
      <c r="K21" s="2" t="n">
        <f aca="false">ROUND(J21/F21*100,0)</f>
        <v>78</v>
      </c>
      <c r="L21" s="2" t="str">
        <f aca="false">IF(G21&gt;=workload_config!$B$2,"Overloaded",IF(G21&lt;workload_config!$B$3,"Underutilized","Optimal"))</f>
        <v>Optimal</v>
      </c>
      <c r="M21" s="2" t="str">
        <f aca="false">IF(K21&gt;=workload_config!$B$2,"Overloaded",IF(K21&lt;workload_config!$B$3,"Underutilized","Optimal"))</f>
        <v>Optimal</v>
      </c>
      <c r="N21" s="2" t="n">
        <f aca="false">MAX(0,ROUND(F21*workload_config!$B$4/100-J21,0))</f>
        <v>1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314</v>
      </c>
      <c r="D22" s="2" t="s">
        <v>96</v>
      </c>
      <c r="E22" s="2" t="n">
        <v>31</v>
      </c>
      <c r="F22" s="2" t="n">
        <v>40</v>
      </c>
      <c r="G22" s="2" t="n">
        <f aca="false">ROUND(E22/F22*100,0)</f>
        <v>78</v>
      </c>
      <c r="H22" s="2" t="n">
        <f aca="false">SUMIFS(rebalance_recommendations!$J:$J,rebalance_recommendations!$K:$K,A22)</f>
        <v>0</v>
      </c>
      <c r="I22" s="2" t="n">
        <f aca="false">SUMIFS(rebalance_recommendations!$J:$J,rebalance_recommendations!$M:$M,A22)</f>
        <v>0</v>
      </c>
      <c r="J22" s="2" t="n">
        <f aca="false">E22-H22+I22</f>
        <v>31</v>
      </c>
      <c r="K22" s="2" t="n">
        <f aca="false">ROUND(J22/F22*100,0)</f>
        <v>78</v>
      </c>
      <c r="L22" s="2" t="str">
        <f aca="false">IF(G22&gt;=workload_config!$B$2,"Overloaded",IF(G22&lt;workload_config!$B$3,"Underutilized","Optimal"))</f>
        <v>Optimal</v>
      </c>
      <c r="M22" s="2" t="str">
        <f aca="false">IF(K22&gt;=workload_config!$B$2,"Overloaded",IF(K22&lt;workload_config!$B$3,"Underutilized","Optimal"))</f>
        <v>Optimal</v>
      </c>
      <c r="N22" s="2" t="n">
        <f aca="false">MAX(0,ROUND(F22*workload_config!$B$4/100-J22,0))</f>
        <v>1</v>
      </c>
    </row>
    <row r="23" customFormat="false" ht="15" hidden="false" customHeight="false" outlineLevel="0" collapsed="false">
      <c r="A23" s="2" t="s">
        <v>82</v>
      </c>
      <c r="B23" s="2" t="s">
        <v>83</v>
      </c>
      <c r="C23" s="2" t="s">
        <v>303</v>
      </c>
      <c r="D23" s="2" t="s">
        <v>67</v>
      </c>
      <c r="E23" s="2" t="n">
        <v>30</v>
      </c>
      <c r="F23" s="2" t="n">
        <v>40</v>
      </c>
      <c r="G23" s="2" t="n">
        <f aca="false">ROUND(E23/F23*100,0)</f>
        <v>75</v>
      </c>
      <c r="H23" s="2" t="n">
        <f aca="false">SUMIFS(rebalance_recommendations!$J:$J,rebalance_recommendations!$K:$K,A23)</f>
        <v>0</v>
      </c>
      <c r="I23" s="2" t="n">
        <f aca="false">SUMIFS(rebalance_recommendations!$J:$J,rebalance_recommendations!$M:$M,A23)</f>
        <v>0</v>
      </c>
      <c r="J23" s="2" t="n">
        <f aca="false">E23-H23+I23</f>
        <v>30</v>
      </c>
      <c r="K23" s="2" t="n">
        <f aca="false">ROUND(J23/F23*100,0)</f>
        <v>75</v>
      </c>
      <c r="L23" s="2" t="str">
        <f aca="false">IF(G23&gt;=workload_config!$B$2,"Overloaded",IF(G23&lt;workload_config!$B$3,"Underutilized","Optimal"))</f>
        <v>Optimal</v>
      </c>
      <c r="M23" s="2" t="str">
        <f aca="false">IF(K23&gt;=workload_config!$B$2,"Overloaded",IF(K23&lt;workload_config!$B$3,"Underutilized","Optimal"))</f>
        <v>Optimal</v>
      </c>
      <c r="N23" s="2" t="n">
        <f aca="false">MAX(0,ROUND(F23*workload_config!$B$4/100-J23,0))</f>
        <v>2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2" t="s">
        <v>306</v>
      </c>
      <c r="D24" s="2" t="s">
        <v>67</v>
      </c>
      <c r="E24" s="2" t="n">
        <v>30</v>
      </c>
      <c r="F24" s="2" t="n">
        <v>40</v>
      </c>
      <c r="G24" s="2" t="n">
        <f aca="false">ROUND(E24/F24*100,0)</f>
        <v>75</v>
      </c>
      <c r="H24" s="2" t="n">
        <f aca="false">SUMIFS(rebalance_recommendations!$J:$J,rebalance_recommendations!$K:$K,A24)</f>
        <v>0</v>
      </c>
      <c r="I24" s="2" t="n">
        <f aca="false">SUMIFS(rebalance_recommendations!$J:$J,rebalance_recommendations!$M:$M,A24)</f>
        <v>0</v>
      </c>
      <c r="J24" s="2" t="n">
        <f aca="false">E24-H24+I24</f>
        <v>30</v>
      </c>
      <c r="K24" s="2" t="n">
        <f aca="false">ROUND(J24/F24*100,0)</f>
        <v>75</v>
      </c>
      <c r="L24" s="2" t="str">
        <f aca="false">IF(G24&gt;=workload_config!$B$2,"Overloaded",IF(G24&lt;workload_config!$B$3,"Underutilized","Optimal"))</f>
        <v>Optimal</v>
      </c>
      <c r="M24" s="2" t="str">
        <f aca="false">IF(K24&gt;=workload_config!$B$2,"Overloaded",IF(K24&lt;workload_config!$B$3,"Underutilized","Optimal"))</f>
        <v>Optimal</v>
      </c>
      <c r="N24" s="2" t="n">
        <f aca="false">MAX(0,ROUND(F24*workload_config!$B$4/100-J24,0))</f>
        <v>2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315</v>
      </c>
      <c r="D25" s="2" t="s">
        <v>119</v>
      </c>
      <c r="E25" s="2" t="n">
        <v>30</v>
      </c>
      <c r="F25" s="2" t="n">
        <v>40</v>
      </c>
      <c r="G25" s="2" t="n">
        <f aca="false">ROUND(E25/F25*100,0)</f>
        <v>75</v>
      </c>
      <c r="H25" s="2" t="n">
        <f aca="false">SUMIFS(rebalance_recommendations!$J:$J,rebalance_recommendations!$K:$K,A25)</f>
        <v>0</v>
      </c>
      <c r="I25" s="2" t="n">
        <f aca="false">SUMIFS(rebalance_recommendations!$J:$J,rebalance_recommendations!$M:$M,A25)</f>
        <v>0</v>
      </c>
      <c r="J25" s="2" t="n">
        <f aca="false">E25-H25+I25</f>
        <v>30</v>
      </c>
      <c r="K25" s="2" t="n">
        <f aca="false">ROUND(J25/F25*100,0)</f>
        <v>75</v>
      </c>
      <c r="L25" s="2" t="str">
        <f aca="false">IF(G25&gt;=workload_config!$B$2,"Overloaded",IF(G25&lt;workload_config!$B$3,"Underutilized","Optimal"))</f>
        <v>Optimal</v>
      </c>
      <c r="M25" s="2" t="str">
        <f aca="false">IF(K25&gt;=workload_config!$B$2,"Overloaded",IF(K25&lt;workload_config!$B$3,"Underutilized","Optimal"))</f>
        <v>Optimal</v>
      </c>
      <c r="N25" s="2" t="n">
        <f aca="false">MAX(0,ROUND(F25*workload_config!$B$4/100-J25,0))</f>
        <v>2</v>
      </c>
    </row>
    <row r="26" customFormat="false" ht="15" hidden="false" customHeight="false" outlineLevel="0" collapsed="false">
      <c r="A26" s="2" t="s">
        <v>134</v>
      </c>
      <c r="B26" s="2" t="s">
        <v>135</v>
      </c>
      <c r="C26" s="2" t="s">
        <v>310</v>
      </c>
      <c r="D26" s="2" t="s">
        <v>119</v>
      </c>
      <c r="E26" s="2" t="n">
        <v>30</v>
      </c>
      <c r="F26" s="2" t="n">
        <v>40</v>
      </c>
      <c r="G26" s="2" t="n">
        <f aca="false">ROUND(E26/F26*100,0)</f>
        <v>75</v>
      </c>
      <c r="H26" s="2" t="n">
        <f aca="false">SUMIFS(rebalance_recommendations!$J:$J,rebalance_recommendations!$K:$K,A26)</f>
        <v>0</v>
      </c>
      <c r="I26" s="2" t="n">
        <f aca="false">SUMIFS(rebalance_recommendations!$J:$J,rebalance_recommendations!$M:$M,A26)</f>
        <v>0</v>
      </c>
      <c r="J26" s="2" t="n">
        <f aca="false">E26-H26+I26</f>
        <v>30</v>
      </c>
      <c r="K26" s="2" t="n">
        <f aca="false">ROUND(J26/F26*100,0)</f>
        <v>75</v>
      </c>
      <c r="L26" s="2" t="str">
        <f aca="false">IF(G26&gt;=workload_config!$B$2,"Overloaded",IF(G26&lt;workload_config!$B$3,"Underutilized","Optimal"))</f>
        <v>Optimal</v>
      </c>
      <c r="M26" s="2" t="str">
        <f aca="false">IF(K26&gt;=workload_config!$B$2,"Overloaded",IF(K26&lt;workload_config!$B$3,"Underutilized","Optimal"))</f>
        <v>Optimal</v>
      </c>
      <c r="N26" s="2" t="n">
        <f aca="false">MAX(0,ROUND(F26*workload_config!$B$4/100-J26,0))</f>
        <v>2</v>
      </c>
    </row>
    <row r="27" customFormat="false" ht="15" hidden="false" customHeight="false" outlineLevel="0" collapsed="false">
      <c r="A27" s="2" t="s">
        <v>151</v>
      </c>
      <c r="B27" s="2" t="s">
        <v>152</v>
      </c>
      <c r="C27" s="2" t="s">
        <v>316</v>
      </c>
      <c r="D27" s="2" t="s">
        <v>146</v>
      </c>
      <c r="E27" s="2" t="n">
        <v>30</v>
      </c>
      <c r="F27" s="2" t="n">
        <v>40</v>
      </c>
      <c r="G27" s="2" t="n">
        <f aca="false">ROUND(E27/F27*100,0)</f>
        <v>75</v>
      </c>
      <c r="H27" s="2" t="n">
        <f aca="false">SUMIFS(rebalance_recommendations!$J:$J,rebalance_recommendations!$K:$K,A27)</f>
        <v>0</v>
      </c>
      <c r="I27" s="2" t="n">
        <f aca="false">SUMIFS(rebalance_recommendations!$J:$J,rebalance_recommendations!$M:$M,A27)</f>
        <v>0</v>
      </c>
      <c r="J27" s="2" t="n">
        <f aca="false">E27-H27+I27</f>
        <v>30</v>
      </c>
      <c r="K27" s="2" t="n">
        <f aca="false">ROUND(J27/F27*100,0)</f>
        <v>75</v>
      </c>
      <c r="L27" s="2" t="str">
        <f aca="false">IF(G27&gt;=workload_config!$B$2,"Overloaded",IF(G27&lt;workload_config!$B$3,"Underutilized","Optimal"))</f>
        <v>Optimal</v>
      </c>
      <c r="M27" s="2" t="str">
        <f aca="false">IF(K27&gt;=workload_config!$B$2,"Overloaded",IF(K27&lt;workload_config!$B$3,"Underutilized","Optimal"))</f>
        <v>Optimal</v>
      </c>
      <c r="N27" s="2" t="n">
        <f aca="false">MAX(0,ROUND(F27*workload_config!$B$4/100-J27,0))</f>
        <v>2</v>
      </c>
    </row>
    <row r="28" customFormat="false" ht="15" hidden="false" customHeight="false" outlineLevel="0" collapsed="false">
      <c r="A28" s="2" t="s">
        <v>159</v>
      </c>
      <c r="B28" s="2" t="s">
        <v>160</v>
      </c>
      <c r="C28" s="2" t="s">
        <v>317</v>
      </c>
      <c r="D28" s="2" t="s">
        <v>146</v>
      </c>
      <c r="E28" s="2" t="n">
        <v>30</v>
      </c>
      <c r="F28" s="2" t="n">
        <v>40</v>
      </c>
      <c r="G28" s="2" t="n">
        <f aca="false">ROUND(E28/F28*100,0)</f>
        <v>75</v>
      </c>
      <c r="H28" s="2" t="n">
        <f aca="false">SUMIFS(rebalance_recommendations!$J:$J,rebalance_recommendations!$K:$K,A28)</f>
        <v>0</v>
      </c>
      <c r="I28" s="2" t="n">
        <f aca="false">SUMIFS(rebalance_recommendations!$J:$J,rebalance_recommendations!$M:$M,A28)</f>
        <v>0</v>
      </c>
      <c r="J28" s="2" t="n">
        <f aca="false">E28-H28+I28</f>
        <v>30</v>
      </c>
      <c r="K28" s="2" t="n">
        <f aca="false">ROUND(J28/F28*100,0)</f>
        <v>75</v>
      </c>
      <c r="L28" s="2" t="str">
        <f aca="false">IF(G28&gt;=workload_config!$B$2,"Overloaded",IF(G28&lt;workload_config!$B$3,"Underutilized","Optimal"))</f>
        <v>Optimal</v>
      </c>
      <c r="M28" s="2" t="str">
        <f aca="false">IF(K28&gt;=workload_config!$B$2,"Overloaded",IF(K28&lt;workload_config!$B$3,"Underutilized","Optimal"))</f>
        <v>Optimal</v>
      </c>
      <c r="N28" s="2" t="n">
        <f aca="false">MAX(0,ROUND(F28*workload_config!$B$4/100-J28,0))</f>
        <v>2</v>
      </c>
    </row>
    <row r="29" customFormat="false" ht="15" hidden="false" customHeight="false" outlineLevel="0" collapsed="false">
      <c r="A29" s="2" t="s">
        <v>186</v>
      </c>
      <c r="B29" s="2" t="s">
        <v>187</v>
      </c>
      <c r="C29" s="2" t="s">
        <v>318</v>
      </c>
      <c r="D29" s="2" t="s">
        <v>169</v>
      </c>
      <c r="E29" s="2" t="n">
        <v>30</v>
      </c>
      <c r="F29" s="2" t="n">
        <v>40</v>
      </c>
      <c r="G29" s="2" t="n">
        <f aca="false">ROUND(E29/F29*100,0)</f>
        <v>75</v>
      </c>
      <c r="H29" s="2" t="n">
        <f aca="false">SUMIFS(rebalance_recommendations!$J:$J,rebalance_recommendations!$K:$K,A29)</f>
        <v>0</v>
      </c>
      <c r="I29" s="2" t="n">
        <f aca="false">SUMIFS(rebalance_recommendations!$J:$J,rebalance_recommendations!$M:$M,A29)</f>
        <v>0</v>
      </c>
      <c r="J29" s="2" t="n">
        <f aca="false">E29-H29+I29</f>
        <v>30</v>
      </c>
      <c r="K29" s="2" t="n">
        <f aca="false">ROUND(J29/F29*100,0)</f>
        <v>75</v>
      </c>
      <c r="L29" s="2" t="str">
        <f aca="false">IF(G29&gt;=workload_config!$B$2,"Overloaded",IF(G29&lt;workload_config!$B$3,"Underutilized","Optimal"))</f>
        <v>Optimal</v>
      </c>
      <c r="M29" s="2" t="str">
        <f aca="false">IF(K29&gt;=workload_config!$B$2,"Overloaded",IF(K29&lt;workload_config!$B$3,"Underutilized","Optimal"))</f>
        <v>Optimal</v>
      </c>
      <c r="N29" s="2" t="n">
        <f aca="false">MAX(0,ROUND(F29*workload_config!$B$4/100-J29,0))</f>
        <v>2</v>
      </c>
    </row>
    <row r="30" customFormat="false" ht="15" hidden="false" customHeight="false" outlineLevel="0" collapsed="false">
      <c r="A30" s="2" t="s">
        <v>80</v>
      </c>
      <c r="B30" s="2" t="s">
        <v>81</v>
      </c>
      <c r="C30" s="2" t="s">
        <v>306</v>
      </c>
      <c r="D30" s="2" t="s">
        <v>67</v>
      </c>
      <c r="E30" s="2" t="n">
        <v>29</v>
      </c>
      <c r="F30" s="2" t="n">
        <v>40</v>
      </c>
      <c r="G30" s="2" t="n">
        <f aca="false">ROUND(E30/F30*100,0)</f>
        <v>73</v>
      </c>
      <c r="H30" s="2" t="n">
        <f aca="false">SUMIFS(rebalance_recommendations!$J:$J,rebalance_recommendations!$K:$K,A30)</f>
        <v>0</v>
      </c>
      <c r="I30" s="2" t="n">
        <f aca="false">SUMIFS(rebalance_recommendations!$J:$J,rebalance_recommendations!$M:$M,A30)</f>
        <v>0</v>
      </c>
      <c r="J30" s="2" t="n">
        <f aca="false">E30-H30+I30</f>
        <v>29</v>
      </c>
      <c r="K30" s="2" t="n">
        <f aca="false">ROUND(J30/F30*100,0)</f>
        <v>73</v>
      </c>
      <c r="L30" s="2" t="str">
        <f aca="false">IF(G30&gt;=workload_config!$B$2,"Overloaded",IF(G30&lt;workload_config!$B$3,"Underutilized","Optimal"))</f>
        <v>Optimal</v>
      </c>
      <c r="M30" s="2" t="str">
        <f aca="false">IF(K30&gt;=workload_config!$B$2,"Overloaded",IF(K30&lt;workload_config!$B$3,"Underutilized","Optimal"))</f>
        <v>Optimal</v>
      </c>
      <c r="N30" s="2" t="n">
        <f aca="false">MAX(0,ROUND(F30*workload_config!$B$4/100-J30,0))</f>
        <v>3</v>
      </c>
    </row>
    <row r="31" customFormat="false" ht="15" hidden="false" customHeight="false" outlineLevel="0" collapsed="false">
      <c r="A31" s="2" t="s">
        <v>90</v>
      </c>
      <c r="B31" s="2" t="s">
        <v>91</v>
      </c>
      <c r="C31" s="2" t="s">
        <v>308</v>
      </c>
      <c r="D31" s="2" t="s">
        <v>67</v>
      </c>
      <c r="E31" s="2" t="n">
        <v>29</v>
      </c>
      <c r="F31" s="2" t="n">
        <v>40</v>
      </c>
      <c r="G31" s="2" t="n">
        <f aca="false">ROUND(E31/F31*100,0)</f>
        <v>73</v>
      </c>
      <c r="H31" s="2" t="n">
        <f aca="false">SUMIFS(rebalance_recommendations!$J:$J,rebalance_recommendations!$K:$K,A31)</f>
        <v>0</v>
      </c>
      <c r="I31" s="2" t="n">
        <f aca="false">SUMIFS(rebalance_recommendations!$J:$J,rebalance_recommendations!$M:$M,A31)</f>
        <v>0</v>
      </c>
      <c r="J31" s="2" t="n">
        <f aca="false">E31-H31+I31</f>
        <v>29</v>
      </c>
      <c r="K31" s="2" t="n">
        <f aca="false">ROUND(J31/F31*100,0)</f>
        <v>73</v>
      </c>
      <c r="L31" s="2" t="str">
        <f aca="false">IF(G31&gt;=workload_config!$B$2,"Overloaded",IF(G31&lt;workload_config!$B$3,"Underutilized","Optimal"))</f>
        <v>Optimal</v>
      </c>
      <c r="M31" s="2" t="str">
        <f aca="false">IF(K31&gt;=workload_config!$B$2,"Overloaded",IF(K31&lt;workload_config!$B$3,"Underutilized","Optimal"))</f>
        <v>Optimal</v>
      </c>
      <c r="N31" s="2" t="n">
        <f aca="false">MAX(0,ROUND(F31*workload_config!$B$4/100-J31,0))</f>
        <v>3</v>
      </c>
    </row>
    <row r="32" customFormat="false" ht="15" hidden="false" customHeight="false" outlineLevel="0" collapsed="false">
      <c r="A32" s="2" t="s">
        <v>101</v>
      </c>
      <c r="B32" s="2" t="s">
        <v>102</v>
      </c>
      <c r="C32" s="2" t="s">
        <v>314</v>
      </c>
      <c r="D32" s="2" t="s">
        <v>96</v>
      </c>
      <c r="E32" s="2" t="n">
        <v>29</v>
      </c>
      <c r="F32" s="2" t="n">
        <v>40</v>
      </c>
      <c r="G32" s="2" t="n">
        <f aca="false">ROUND(E32/F32*100,0)</f>
        <v>73</v>
      </c>
      <c r="H32" s="2" t="n">
        <f aca="false">SUMIFS(rebalance_recommendations!$J:$J,rebalance_recommendations!$K:$K,A32)</f>
        <v>0</v>
      </c>
      <c r="I32" s="2" t="n">
        <f aca="false">SUMIFS(rebalance_recommendations!$J:$J,rebalance_recommendations!$M:$M,A32)</f>
        <v>0</v>
      </c>
      <c r="J32" s="2" t="n">
        <f aca="false">E32-H32+I32</f>
        <v>29</v>
      </c>
      <c r="K32" s="2" t="n">
        <f aca="false">ROUND(J32/F32*100,0)</f>
        <v>73</v>
      </c>
      <c r="L32" s="2" t="str">
        <f aca="false">IF(G32&gt;=workload_config!$B$2,"Overloaded",IF(G32&lt;workload_config!$B$3,"Underutilized","Optimal"))</f>
        <v>Optimal</v>
      </c>
      <c r="M32" s="2" t="str">
        <f aca="false">IF(K32&gt;=workload_config!$B$2,"Overloaded",IF(K32&lt;workload_config!$B$3,"Underutilized","Optimal"))</f>
        <v>Optimal</v>
      </c>
      <c r="N32" s="2" t="n">
        <f aca="false">MAX(0,ROUND(F32*workload_config!$B$4/100-J32,0))</f>
        <v>3</v>
      </c>
    </row>
    <row r="33" customFormat="false" ht="15" hidden="false" customHeight="false" outlineLevel="0" collapsed="false">
      <c r="A33" s="2" t="s">
        <v>113</v>
      </c>
      <c r="B33" s="2" t="s">
        <v>114</v>
      </c>
      <c r="C33" s="2" t="s">
        <v>314</v>
      </c>
      <c r="D33" s="2" t="s">
        <v>96</v>
      </c>
      <c r="E33" s="2" t="n">
        <v>29</v>
      </c>
      <c r="F33" s="2" t="n">
        <v>40</v>
      </c>
      <c r="G33" s="2" t="n">
        <f aca="false">ROUND(E33/F33*100,0)</f>
        <v>73</v>
      </c>
      <c r="H33" s="2" t="n">
        <f aca="false">SUMIFS(rebalance_recommendations!$J:$J,rebalance_recommendations!$K:$K,A33)</f>
        <v>0</v>
      </c>
      <c r="I33" s="2" t="n">
        <f aca="false">SUMIFS(rebalance_recommendations!$J:$J,rebalance_recommendations!$M:$M,A33)</f>
        <v>0</v>
      </c>
      <c r="J33" s="2" t="n">
        <f aca="false">E33-H33+I33</f>
        <v>29</v>
      </c>
      <c r="K33" s="2" t="n">
        <f aca="false">ROUND(J33/F33*100,0)</f>
        <v>73</v>
      </c>
      <c r="L33" s="2" t="str">
        <f aca="false">IF(G33&gt;=workload_config!$B$2,"Overloaded",IF(G33&lt;workload_config!$B$3,"Underutilized","Optimal"))</f>
        <v>Optimal</v>
      </c>
      <c r="M33" s="2" t="str">
        <f aca="false">IF(K33&gt;=workload_config!$B$2,"Overloaded",IF(K33&lt;workload_config!$B$3,"Underutilized","Optimal"))</f>
        <v>Optimal</v>
      </c>
      <c r="N33" s="2" t="n">
        <f aca="false">MAX(0,ROUND(F33*workload_config!$B$4/100-J33,0))</f>
        <v>3</v>
      </c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319</v>
      </c>
      <c r="D34" s="2" t="s">
        <v>119</v>
      </c>
      <c r="E34" s="2" t="n">
        <v>29</v>
      </c>
      <c r="F34" s="2" t="n">
        <v>40</v>
      </c>
      <c r="G34" s="2" t="n">
        <f aca="false">ROUND(E34/F34*100,0)</f>
        <v>73</v>
      </c>
      <c r="H34" s="2" t="n">
        <f aca="false">SUMIFS(rebalance_recommendations!$J:$J,rebalance_recommendations!$K:$K,A34)</f>
        <v>0</v>
      </c>
      <c r="I34" s="2" t="n">
        <f aca="false">SUMIFS(rebalance_recommendations!$J:$J,rebalance_recommendations!$M:$M,A34)</f>
        <v>0</v>
      </c>
      <c r="J34" s="2" t="n">
        <f aca="false">E34-H34+I34</f>
        <v>29</v>
      </c>
      <c r="K34" s="2" t="n">
        <f aca="false">ROUND(J34/F34*100,0)</f>
        <v>73</v>
      </c>
      <c r="L34" s="2" t="str">
        <f aca="false">IF(G34&gt;=workload_config!$B$2,"Overloaded",IF(G34&lt;workload_config!$B$3,"Underutilized","Optimal"))</f>
        <v>Optimal</v>
      </c>
      <c r="M34" s="2" t="str">
        <f aca="false">IF(K34&gt;=workload_config!$B$2,"Overloaded",IF(K34&lt;workload_config!$B$3,"Underutilized","Optimal"))</f>
        <v>Optimal</v>
      </c>
      <c r="N34" s="2" t="n">
        <f aca="false">MAX(0,ROUND(F34*workload_config!$B$4/100-J34,0))</f>
        <v>3</v>
      </c>
    </row>
    <row r="35" customFormat="false" ht="15" hidden="false" customHeight="false" outlineLevel="0" collapsed="false">
      <c r="A35" s="2" t="s">
        <v>165</v>
      </c>
      <c r="B35" s="2" t="s">
        <v>166</v>
      </c>
      <c r="C35" s="2" t="s">
        <v>311</v>
      </c>
      <c r="D35" s="2" t="s">
        <v>146</v>
      </c>
      <c r="E35" s="2" t="n">
        <v>29</v>
      </c>
      <c r="F35" s="2" t="n">
        <v>40</v>
      </c>
      <c r="G35" s="2" t="n">
        <f aca="false">ROUND(E35/F35*100,0)</f>
        <v>73</v>
      </c>
      <c r="H35" s="2" t="n">
        <f aca="false">SUMIFS(rebalance_recommendations!$J:$J,rebalance_recommendations!$K:$K,A35)</f>
        <v>0</v>
      </c>
      <c r="I35" s="2" t="n">
        <f aca="false">SUMIFS(rebalance_recommendations!$J:$J,rebalance_recommendations!$M:$M,A35)</f>
        <v>0</v>
      </c>
      <c r="J35" s="2" t="n">
        <f aca="false">E35-H35+I35</f>
        <v>29</v>
      </c>
      <c r="K35" s="2" t="n">
        <f aca="false">ROUND(J35/F35*100,0)</f>
        <v>73</v>
      </c>
      <c r="L35" s="2" t="str">
        <f aca="false">IF(G35&gt;=workload_config!$B$2,"Overloaded",IF(G35&lt;workload_config!$B$3,"Underutilized","Optimal"))</f>
        <v>Optimal</v>
      </c>
      <c r="M35" s="2" t="str">
        <f aca="false">IF(K35&gt;=workload_config!$B$2,"Overloaded",IF(K35&lt;workload_config!$B$3,"Underutilized","Optimal"))</f>
        <v>Optimal</v>
      </c>
      <c r="N35" s="2" t="n">
        <f aca="false">MAX(0,ROUND(F35*workload_config!$B$4/100-J35,0))</f>
        <v>3</v>
      </c>
    </row>
    <row r="36" customFormat="false" ht="15" hidden="false" customHeight="false" outlineLevel="0" collapsed="false">
      <c r="A36" s="2" t="s">
        <v>74</v>
      </c>
      <c r="B36" s="2" t="s">
        <v>75</v>
      </c>
      <c r="C36" s="2" t="s">
        <v>306</v>
      </c>
      <c r="D36" s="2" t="s">
        <v>67</v>
      </c>
      <c r="E36" s="2" t="n">
        <v>27</v>
      </c>
      <c r="F36" s="2" t="n">
        <v>40</v>
      </c>
      <c r="G36" s="2" t="n">
        <f aca="false">ROUND(E36/F36*100,0)</f>
        <v>68</v>
      </c>
      <c r="H36" s="2" t="n">
        <f aca="false">SUMIFS(rebalance_recommendations!$J:$J,rebalance_recommendations!$K:$K,A36)</f>
        <v>0</v>
      </c>
      <c r="I36" s="2" t="n">
        <f aca="false">SUMIFS(rebalance_recommendations!$J:$J,rebalance_recommendations!$M:$M,A36)</f>
        <v>0</v>
      </c>
      <c r="J36" s="2" t="n">
        <f aca="false">E36-H36+I36</f>
        <v>27</v>
      </c>
      <c r="K36" s="2" t="n">
        <f aca="false">ROUND(J36/F36*100,0)</f>
        <v>68</v>
      </c>
      <c r="L36" s="2" t="str">
        <f aca="false">IF(G36&gt;=workload_config!$B$2,"Overloaded",IF(G36&lt;workload_config!$B$3,"Underutilized","Optimal"))</f>
        <v>Optimal</v>
      </c>
      <c r="M36" s="2" t="str">
        <f aca="false">IF(K36&gt;=workload_config!$B$2,"Overloaded",IF(K36&lt;workload_config!$B$3,"Underutilized","Optimal"))</f>
        <v>Optimal</v>
      </c>
      <c r="N36" s="2" t="n">
        <f aca="false">MAX(0,ROUND(F36*workload_config!$B$4/100-J36,0))</f>
        <v>5</v>
      </c>
    </row>
    <row r="37" customFormat="false" ht="15" hidden="false" customHeight="false" outlineLevel="0" collapsed="false">
      <c r="A37" s="2" t="s">
        <v>115</v>
      </c>
      <c r="B37" s="2" t="s">
        <v>116</v>
      </c>
      <c r="C37" s="2" t="s">
        <v>304</v>
      </c>
      <c r="D37" s="2" t="s">
        <v>96</v>
      </c>
      <c r="E37" s="2" t="n">
        <v>27</v>
      </c>
      <c r="F37" s="2" t="n">
        <v>40</v>
      </c>
      <c r="G37" s="2" t="n">
        <f aca="false">ROUND(E37/F37*100,0)</f>
        <v>68</v>
      </c>
      <c r="H37" s="2" t="n">
        <f aca="false">SUMIFS(rebalance_recommendations!$J:$J,rebalance_recommendations!$K:$K,A37)</f>
        <v>0</v>
      </c>
      <c r="I37" s="2" t="n">
        <f aca="false">SUMIFS(rebalance_recommendations!$J:$J,rebalance_recommendations!$M:$M,A37)</f>
        <v>0</v>
      </c>
      <c r="J37" s="2" t="n">
        <f aca="false">E37-H37+I37</f>
        <v>27</v>
      </c>
      <c r="K37" s="2" t="n">
        <f aca="false">ROUND(J37/F37*100,0)</f>
        <v>68</v>
      </c>
      <c r="L37" s="2" t="str">
        <f aca="false">IF(G37&gt;=workload_config!$B$2,"Overloaded",IF(G37&lt;workload_config!$B$3,"Underutilized","Optimal"))</f>
        <v>Optimal</v>
      </c>
      <c r="M37" s="2" t="str">
        <f aca="false">IF(K37&gt;=workload_config!$B$2,"Overloaded",IF(K37&lt;workload_config!$B$3,"Underutilized","Optimal"))</f>
        <v>Optimal</v>
      </c>
      <c r="N37" s="2" t="n">
        <f aca="false">MAX(0,ROUND(F37*workload_config!$B$4/100-J37,0))</f>
        <v>5</v>
      </c>
    </row>
    <row r="38" customFormat="false" ht="15" hidden="false" customHeight="false" outlineLevel="0" collapsed="false">
      <c r="A38" s="2" t="s">
        <v>124</v>
      </c>
      <c r="B38" s="2" t="s">
        <v>125</v>
      </c>
      <c r="C38" s="2" t="s">
        <v>320</v>
      </c>
      <c r="D38" s="2" t="s">
        <v>119</v>
      </c>
      <c r="E38" s="2" t="n">
        <v>27</v>
      </c>
      <c r="F38" s="2" t="n">
        <v>40</v>
      </c>
      <c r="G38" s="2" t="n">
        <f aca="false">ROUND(E38/F38*100,0)</f>
        <v>68</v>
      </c>
      <c r="H38" s="2" t="n">
        <f aca="false">SUMIFS(rebalance_recommendations!$J:$J,rebalance_recommendations!$K:$K,A38)</f>
        <v>0</v>
      </c>
      <c r="I38" s="2" t="n">
        <f aca="false">SUMIFS(rebalance_recommendations!$J:$J,rebalance_recommendations!$M:$M,A38)</f>
        <v>0</v>
      </c>
      <c r="J38" s="2" t="n">
        <f aca="false">E38-H38+I38</f>
        <v>27</v>
      </c>
      <c r="K38" s="2" t="n">
        <f aca="false">ROUND(J38/F38*100,0)</f>
        <v>68</v>
      </c>
      <c r="L38" s="2" t="str">
        <f aca="false">IF(G38&gt;=workload_config!$B$2,"Overloaded",IF(G38&lt;workload_config!$B$3,"Underutilized","Optimal"))</f>
        <v>Optimal</v>
      </c>
      <c r="M38" s="2" t="str">
        <f aca="false">IF(K38&gt;=workload_config!$B$2,"Overloaded",IF(K38&lt;workload_config!$B$3,"Underutilized","Optimal"))</f>
        <v>Optimal</v>
      </c>
      <c r="N38" s="2" t="n">
        <f aca="false">MAX(0,ROUND(F38*workload_config!$B$4/100-J38,0))</f>
        <v>5</v>
      </c>
    </row>
    <row r="39" customFormat="false" ht="15" hidden="false" customHeight="false" outlineLevel="0" collapsed="false">
      <c r="A39" s="2" t="s">
        <v>130</v>
      </c>
      <c r="B39" s="2" t="s">
        <v>131</v>
      </c>
      <c r="C39" s="2" t="s">
        <v>320</v>
      </c>
      <c r="D39" s="2" t="s">
        <v>119</v>
      </c>
      <c r="E39" s="2" t="n">
        <v>27</v>
      </c>
      <c r="F39" s="2" t="n">
        <v>40</v>
      </c>
      <c r="G39" s="2" t="n">
        <f aca="false">ROUND(E39/F39*100,0)</f>
        <v>68</v>
      </c>
      <c r="H39" s="2" t="n">
        <f aca="false">SUMIFS(rebalance_recommendations!$J:$J,rebalance_recommendations!$K:$K,A39)</f>
        <v>0</v>
      </c>
      <c r="I39" s="2" t="n">
        <f aca="false">SUMIFS(rebalance_recommendations!$J:$J,rebalance_recommendations!$M:$M,A39)</f>
        <v>0</v>
      </c>
      <c r="J39" s="2" t="n">
        <f aca="false">E39-H39+I39</f>
        <v>27</v>
      </c>
      <c r="K39" s="2" t="n">
        <f aca="false">ROUND(J39/F39*100,0)</f>
        <v>68</v>
      </c>
      <c r="L39" s="2" t="str">
        <f aca="false">IF(G39&gt;=workload_config!$B$2,"Overloaded",IF(G39&lt;workload_config!$B$3,"Underutilized","Optimal"))</f>
        <v>Optimal</v>
      </c>
      <c r="M39" s="2" t="str">
        <f aca="false">IF(K39&gt;=workload_config!$B$2,"Overloaded",IF(K39&lt;workload_config!$B$3,"Underutilized","Optimal"))</f>
        <v>Optimal</v>
      </c>
      <c r="N39" s="2" t="n">
        <f aca="false">MAX(0,ROUND(F39*workload_config!$B$4/100-J39,0))</f>
        <v>5</v>
      </c>
    </row>
    <row r="40" customFormat="false" ht="15" hidden="false" customHeight="false" outlineLevel="0" collapsed="false">
      <c r="A40" s="2" t="s">
        <v>132</v>
      </c>
      <c r="B40" s="2" t="s">
        <v>133</v>
      </c>
      <c r="C40" s="2" t="s">
        <v>321</v>
      </c>
      <c r="D40" s="2" t="s">
        <v>119</v>
      </c>
      <c r="E40" s="2" t="n">
        <v>27</v>
      </c>
      <c r="F40" s="2" t="n">
        <v>40</v>
      </c>
      <c r="G40" s="2" t="n">
        <f aca="false">ROUND(E40/F40*100,0)</f>
        <v>68</v>
      </c>
      <c r="H40" s="2" t="n">
        <f aca="false">SUMIFS(rebalance_recommendations!$J:$J,rebalance_recommendations!$K:$K,A40)</f>
        <v>0</v>
      </c>
      <c r="I40" s="2" t="n">
        <f aca="false">SUMIFS(rebalance_recommendations!$J:$J,rebalance_recommendations!$M:$M,A40)</f>
        <v>0</v>
      </c>
      <c r="J40" s="2" t="n">
        <f aca="false">E40-H40+I40</f>
        <v>27</v>
      </c>
      <c r="K40" s="2" t="n">
        <f aca="false">ROUND(J40/F40*100,0)</f>
        <v>68</v>
      </c>
      <c r="L40" s="2" t="str">
        <f aca="false">IF(G40&gt;=workload_config!$B$2,"Overloaded",IF(G40&lt;workload_config!$B$3,"Underutilized","Optimal"))</f>
        <v>Optimal</v>
      </c>
      <c r="M40" s="2" t="str">
        <f aca="false">IF(K40&gt;=workload_config!$B$2,"Overloaded",IF(K40&lt;workload_config!$B$3,"Underutilized","Optimal"))</f>
        <v>Optimal</v>
      </c>
      <c r="N40" s="2" t="n">
        <f aca="false">MAX(0,ROUND(F40*workload_config!$B$4/100-J40,0))</f>
        <v>5</v>
      </c>
    </row>
    <row r="41" customFormat="false" ht="15" hidden="false" customHeight="false" outlineLevel="0" collapsed="false">
      <c r="A41" s="2" t="s">
        <v>149</v>
      </c>
      <c r="B41" s="2" t="s">
        <v>150</v>
      </c>
      <c r="C41" s="2" t="s">
        <v>311</v>
      </c>
      <c r="D41" s="2" t="s">
        <v>146</v>
      </c>
      <c r="E41" s="2" t="n">
        <v>27</v>
      </c>
      <c r="F41" s="2" t="n">
        <v>40</v>
      </c>
      <c r="G41" s="2" t="n">
        <f aca="false">ROUND(E41/F41*100,0)</f>
        <v>68</v>
      </c>
      <c r="H41" s="2" t="n">
        <f aca="false">SUMIFS(rebalance_recommendations!$J:$J,rebalance_recommendations!$K:$K,A41)</f>
        <v>0</v>
      </c>
      <c r="I41" s="2" t="n">
        <f aca="false">SUMIFS(rebalance_recommendations!$J:$J,rebalance_recommendations!$M:$M,A41)</f>
        <v>0</v>
      </c>
      <c r="J41" s="2" t="n">
        <f aca="false">E41-H41+I41</f>
        <v>27</v>
      </c>
      <c r="K41" s="2" t="n">
        <f aca="false">ROUND(J41/F41*100,0)</f>
        <v>68</v>
      </c>
      <c r="L41" s="2" t="str">
        <f aca="false">IF(G41&gt;=workload_config!$B$2,"Overloaded",IF(G41&lt;workload_config!$B$3,"Underutilized","Optimal"))</f>
        <v>Optimal</v>
      </c>
      <c r="M41" s="2" t="str">
        <f aca="false">IF(K41&gt;=workload_config!$B$2,"Overloaded",IF(K41&lt;workload_config!$B$3,"Underutilized","Optimal"))</f>
        <v>Optimal</v>
      </c>
      <c r="N41" s="2" t="n">
        <f aca="false">MAX(0,ROUND(F41*workload_config!$B$4/100-J41,0))</f>
        <v>5</v>
      </c>
    </row>
    <row r="42" customFormat="false" ht="15" hidden="false" customHeight="false" outlineLevel="0" collapsed="false">
      <c r="A42" s="2" t="s">
        <v>157</v>
      </c>
      <c r="B42" s="2" t="s">
        <v>158</v>
      </c>
      <c r="C42" s="2" t="s">
        <v>311</v>
      </c>
      <c r="D42" s="2" t="s">
        <v>146</v>
      </c>
      <c r="E42" s="2" t="n">
        <v>27</v>
      </c>
      <c r="F42" s="2" t="n">
        <v>40</v>
      </c>
      <c r="G42" s="2" t="n">
        <f aca="false">ROUND(E42/F42*100,0)</f>
        <v>68</v>
      </c>
      <c r="H42" s="2" t="n">
        <f aca="false">SUMIFS(rebalance_recommendations!$J:$J,rebalance_recommendations!$K:$K,A42)</f>
        <v>0</v>
      </c>
      <c r="I42" s="2" t="n">
        <f aca="false">SUMIFS(rebalance_recommendations!$J:$J,rebalance_recommendations!$M:$M,A42)</f>
        <v>0</v>
      </c>
      <c r="J42" s="2" t="n">
        <f aca="false">E42-H42+I42</f>
        <v>27</v>
      </c>
      <c r="K42" s="2" t="n">
        <f aca="false">ROUND(J42/F42*100,0)</f>
        <v>68</v>
      </c>
      <c r="L42" s="2" t="str">
        <f aca="false">IF(G42&gt;=workload_config!$B$2,"Overloaded",IF(G42&lt;workload_config!$B$3,"Underutilized","Optimal"))</f>
        <v>Optimal</v>
      </c>
      <c r="M42" s="2" t="str">
        <f aca="false">IF(K42&gt;=workload_config!$B$2,"Overloaded",IF(K42&lt;workload_config!$B$3,"Underutilized","Optimal"))</f>
        <v>Optimal</v>
      </c>
      <c r="N42" s="2" t="n">
        <f aca="false">MAX(0,ROUND(F42*workload_config!$B$4/100-J42,0))</f>
        <v>5</v>
      </c>
    </row>
    <row r="43" customFormat="false" ht="15" hidden="false" customHeight="false" outlineLevel="0" collapsed="false">
      <c r="A43" s="2" t="s">
        <v>174</v>
      </c>
      <c r="B43" s="2" t="s">
        <v>175</v>
      </c>
      <c r="C43" s="2" t="s">
        <v>322</v>
      </c>
      <c r="D43" s="2" t="s">
        <v>169</v>
      </c>
      <c r="E43" s="2" t="n">
        <v>27</v>
      </c>
      <c r="F43" s="2" t="n">
        <v>40</v>
      </c>
      <c r="G43" s="2" t="n">
        <f aca="false">ROUND(E43/F43*100,0)</f>
        <v>68</v>
      </c>
      <c r="H43" s="2" t="n">
        <f aca="false">SUMIFS(rebalance_recommendations!$J:$J,rebalance_recommendations!$K:$K,A43)</f>
        <v>0</v>
      </c>
      <c r="I43" s="2" t="n">
        <f aca="false">SUMIFS(rebalance_recommendations!$J:$J,rebalance_recommendations!$M:$M,A43)</f>
        <v>0</v>
      </c>
      <c r="J43" s="2" t="n">
        <f aca="false">E43-H43+I43</f>
        <v>27</v>
      </c>
      <c r="K43" s="2" t="n">
        <f aca="false">ROUND(J43/F43*100,0)</f>
        <v>68</v>
      </c>
      <c r="L43" s="2" t="str">
        <f aca="false">IF(G43&gt;=workload_config!$B$2,"Overloaded",IF(G43&lt;workload_config!$B$3,"Underutilized","Optimal"))</f>
        <v>Optimal</v>
      </c>
      <c r="M43" s="2" t="str">
        <f aca="false">IF(K43&gt;=workload_config!$B$2,"Overloaded",IF(K43&lt;workload_config!$B$3,"Underutilized","Optimal"))</f>
        <v>Optimal</v>
      </c>
      <c r="N43" s="2" t="n">
        <f aca="false">MAX(0,ROUND(F43*workload_config!$B$4/100-J43,0))</f>
        <v>5</v>
      </c>
    </row>
    <row r="44" customFormat="false" ht="15" hidden="false" customHeight="false" outlineLevel="0" collapsed="false">
      <c r="A44" s="2" t="s">
        <v>176</v>
      </c>
      <c r="B44" s="2" t="s">
        <v>177</v>
      </c>
      <c r="C44" s="2" t="s">
        <v>323</v>
      </c>
      <c r="D44" s="2" t="s">
        <v>169</v>
      </c>
      <c r="E44" s="2" t="n">
        <v>27</v>
      </c>
      <c r="F44" s="2" t="n">
        <v>40</v>
      </c>
      <c r="G44" s="2" t="n">
        <f aca="false">ROUND(E44/F44*100,0)</f>
        <v>68</v>
      </c>
      <c r="H44" s="2" t="n">
        <f aca="false">SUMIFS(rebalance_recommendations!$J:$J,rebalance_recommendations!$K:$K,A44)</f>
        <v>0</v>
      </c>
      <c r="I44" s="2" t="n">
        <f aca="false">SUMIFS(rebalance_recommendations!$J:$J,rebalance_recommendations!$M:$M,A44)</f>
        <v>0</v>
      </c>
      <c r="J44" s="2" t="n">
        <f aca="false">E44-H44+I44</f>
        <v>27</v>
      </c>
      <c r="K44" s="2" t="n">
        <f aca="false">ROUND(J44/F44*100,0)</f>
        <v>68</v>
      </c>
      <c r="L44" s="2" t="str">
        <f aca="false">IF(G44&gt;=workload_config!$B$2,"Overloaded",IF(G44&lt;workload_config!$B$3,"Underutilized","Optimal"))</f>
        <v>Optimal</v>
      </c>
      <c r="M44" s="2" t="str">
        <f aca="false">IF(K44&gt;=workload_config!$B$2,"Overloaded",IF(K44&lt;workload_config!$B$3,"Underutilized","Optimal"))</f>
        <v>Optimal</v>
      </c>
      <c r="N44" s="2" t="n">
        <f aca="false">MAX(0,ROUND(F44*workload_config!$B$4/100-J44,0))</f>
        <v>5</v>
      </c>
    </row>
    <row r="45" customFormat="false" ht="15" hidden="false" customHeight="false" outlineLevel="0" collapsed="false">
      <c r="A45" s="2" t="s">
        <v>180</v>
      </c>
      <c r="B45" s="2" t="s">
        <v>181</v>
      </c>
      <c r="C45" s="2" t="s">
        <v>324</v>
      </c>
      <c r="D45" s="2" t="s">
        <v>169</v>
      </c>
      <c r="E45" s="2" t="n">
        <v>21</v>
      </c>
      <c r="F45" s="2" t="n">
        <v>32</v>
      </c>
      <c r="G45" s="2" t="n">
        <f aca="false">ROUND(E45/F45*100,0)</f>
        <v>66</v>
      </c>
      <c r="H45" s="2" t="n">
        <f aca="false">SUMIFS(rebalance_recommendations!$J:$J,rebalance_recommendations!$K:$K,A45)</f>
        <v>0</v>
      </c>
      <c r="I45" s="2" t="n">
        <f aca="false">SUMIFS(rebalance_recommendations!$J:$J,rebalance_recommendations!$M:$M,A45)</f>
        <v>0</v>
      </c>
      <c r="J45" s="2" t="n">
        <f aca="false">E45-H45+I45</f>
        <v>21</v>
      </c>
      <c r="K45" s="2" t="n">
        <f aca="false">ROUND(J45/F45*100,0)</f>
        <v>66</v>
      </c>
      <c r="L45" s="2" t="str">
        <f aca="false">IF(G45&gt;=workload_config!$B$2,"Overloaded",IF(G45&lt;workload_config!$B$3,"Underutilized","Optimal"))</f>
        <v>Optimal</v>
      </c>
      <c r="M45" s="2" t="str">
        <f aca="false">IF(K45&gt;=workload_config!$B$2,"Overloaded",IF(K45&lt;workload_config!$B$3,"Underutilized","Optimal"))</f>
        <v>Optimal</v>
      </c>
      <c r="N45" s="2" t="n">
        <f aca="false">MAX(0,ROUND(F45*workload_config!$B$4/100-J45,0))</f>
        <v>5</v>
      </c>
    </row>
    <row r="46" customFormat="false" ht="15" hidden="false" customHeight="false" outlineLevel="0" collapsed="false">
      <c r="A46" s="2" t="s">
        <v>88</v>
      </c>
      <c r="B46" s="2" t="s">
        <v>89</v>
      </c>
      <c r="C46" s="2" t="s">
        <v>303</v>
      </c>
      <c r="D46" s="2" t="s">
        <v>67</v>
      </c>
      <c r="E46" s="2" t="n">
        <v>26</v>
      </c>
      <c r="F46" s="2" t="n">
        <v>40</v>
      </c>
      <c r="G46" s="2" t="n">
        <f aca="false">ROUND(E46/F46*100,0)</f>
        <v>65</v>
      </c>
      <c r="H46" s="2" t="n">
        <f aca="false">SUMIFS(rebalance_recommendations!$J:$J,rebalance_recommendations!$K:$K,A46)</f>
        <v>0</v>
      </c>
      <c r="I46" s="2" t="n">
        <f aca="false">SUMIFS(rebalance_recommendations!$J:$J,rebalance_recommendations!$M:$M,A46)</f>
        <v>0</v>
      </c>
      <c r="J46" s="2" t="n">
        <f aca="false">E46-H46+I46</f>
        <v>26</v>
      </c>
      <c r="K46" s="2" t="n">
        <f aca="false">ROUND(J46/F46*100,0)</f>
        <v>65</v>
      </c>
      <c r="L46" s="2" t="str">
        <f aca="false">IF(G46&gt;=workload_config!$B$2,"Overloaded",IF(G46&lt;workload_config!$B$3,"Underutilized","Optimal"))</f>
        <v>Optimal</v>
      </c>
      <c r="M46" s="2" t="str">
        <f aca="false">IF(K46&gt;=workload_config!$B$2,"Overloaded",IF(K46&lt;workload_config!$B$3,"Underutilized","Optimal"))</f>
        <v>Optimal</v>
      </c>
      <c r="N46" s="2" t="n">
        <f aca="false">MAX(0,ROUND(F46*workload_config!$B$4/100-J46,0))</f>
        <v>6</v>
      </c>
    </row>
    <row r="47" customFormat="false" ht="15" hidden="false" customHeight="false" outlineLevel="0" collapsed="false">
      <c r="A47" s="2" t="s">
        <v>170</v>
      </c>
      <c r="B47" s="2" t="s">
        <v>171</v>
      </c>
      <c r="C47" s="2" t="s">
        <v>325</v>
      </c>
      <c r="D47" s="2" t="s">
        <v>169</v>
      </c>
      <c r="E47" s="2" t="n">
        <v>26</v>
      </c>
      <c r="F47" s="2" t="n">
        <v>40</v>
      </c>
      <c r="G47" s="2" t="n">
        <f aca="false">ROUND(E47/F47*100,0)</f>
        <v>65</v>
      </c>
      <c r="H47" s="2" t="n">
        <f aca="false">SUMIFS(rebalance_recommendations!$J:$J,rebalance_recommendations!$K:$K,A47)</f>
        <v>0</v>
      </c>
      <c r="I47" s="2" t="n">
        <f aca="false">SUMIFS(rebalance_recommendations!$J:$J,rebalance_recommendations!$M:$M,A47)</f>
        <v>0</v>
      </c>
      <c r="J47" s="2" t="n">
        <f aca="false">E47-H47+I47</f>
        <v>26</v>
      </c>
      <c r="K47" s="2" t="n">
        <f aca="false">ROUND(J47/F47*100,0)</f>
        <v>65</v>
      </c>
      <c r="L47" s="2" t="str">
        <f aca="false">IF(G47&gt;=workload_config!$B$2,"Overloaded",IF(G47&lt;workload_config!$B$3,"Underutilized","Optimal"))</f>
        <v>Optimal</v>
      </c>
      <c r="M47" s="2" t="str">
        <f aca="false">IF(K47&gt;=workload_config!$B$2,"Overloaded",IF(K47&lt;workload_config!$B$3,"Underutilized","Optimal"))</f>
        <v>Optimal</v>
      </c>
      <c r="N47" s="2" t="n">
        <f aca="false">MAX(0,ROUND(F47*workload_config!$B$4/100-J47,0))</f>
        <v>6</v>
      </c>
    </row>
    <row r="48" customFormat="false" ht="15" hidden="false" customHeight="false" outlineLevel="0" collapsed="false">
      <c r="A48" s="2" t="s">
        <v>136</v>
      </c>
      <c r="B48" s="2" t="s">
        <v>137</v>
      </c>
      <c r="C48" s="2" t="s">
        <v>319</v>
      </c>
      <c r="D48" s="2" t="s">
        <v>119</v>
      </c>
      <c r="E48" s="2" t="n">
        <v>25</v>
      </c>
      <c r="F48" s="2" t="n">
        <v>40</v>
      </c>
      <c r="G48" s="2" t="n">
        <f aca="false">ROUND(E48/F48*100,0)</f>
        <v>63</v>
      </c>
      <c r="H48" s="2" t="n">
        <f aca="false">SUMIFS(rebalance_recommendations!$J:$J,rebalance_recommendations!$K:$K,A48)</f>
        <v>0</v>
      </c>
      <c r="I48" s="2" t="n">
        <f aca="false">SUMIFS(rebalance_recommendations!$J:$J,rebalance_recommendations!$M:$M,A48)</f>
        <v>0</v>
      </c>
      <c r="J48" s="2" t="n">
        <f aca="false">E48-H48+I48</f>
        <v>25</v>
      </c>
      <c r="K48" s="2" t="n">
        <f aca="false">ROUND(J48/F48*100,0)</f>
        <v>63</v>
      </c>
      <c r="L48" s="2" t="str">
        <f aca="false">IF(G48&gt;=workload_config!$B$2,"Overloaded",IF(G48&lt;workload_config!$B$3,"Underutilized","Optimal"))</f>
        <v>Optimal</v>
      </c>
      <c r="M48" s="2" t="str">
        <f aca="false">IF(K48&gt;=workload_config!$B$2,"Overloaded",IF(K48&lt;workload_config!$B$3,"Underutilized","Optimal"))</f>
        <v>Optimal</v>
      </c>
      <c r="N48" s="2" t="n">
        <f aca="false">MAX(0,ROUND(F48*workload_config!$B$4/100-J48,0))</f>
        <v>7</v>
      </c>
    </row>
    <row r="49" customFormat="false" ht="15" hidden="false" customHeight="false" outlineLevel="0" collapsed="false">
      <c r="A49" s="2" t="s">
        <v>161</v>
      </c>
      <c r="B49" s="2" t="s">
        <v>162</v>
      </c>
      <c r="C49" s="2" t="s">
        <v>316</v>
      </c>
      <c r="D49" s="2" t="s">
        <v>146</v>
      </c>
      <c r="E49" s="2" t="n">
        <v>25</v>
      </c>
      <c r="F49" s="2" t="n">
        <v>40</v>
      </c>
      <c r="G49" s="2" t="n">
        <f aca="false">ROUND(E49/F49*100,0)</f>
        <v>63</v>
      </c>
      <c r="H49" s="2" t="n">
        <f aca="false">SUMIFS(rebalance_recommendations!$J:$J,rebalance_recommendations!$K:$K,A49)</f>
        <v>0</v>
      </c>
      <c r="I49" s="2" t="n">
        <f aca="false">SUMIFS(rebalance_recommendations!$J:$J,rebalance_recommendations!$M:$M,A49)</f>
        <v>0</v>
      </c>
      <c r="J49" s="2" t="n">
        <f aca="false">E49-H49+I49</f>
        <v>25</v>
      </c>
      <c r="K49" s="2" t="n">
        <f aca="false">ROUND(J49/F49*100,0)</f>
        <v>63</v>
      </c>
      <c r="L49" s="2" t="str">
        <f aca="false">IF(G49&gt;=workload_config!$B$2,"Overloaded",IF(G49&lt;workload_config!$B$3,"Underutilized","Optimal"))</f>
        <v>Optimal</v>
      </c>
      <c r="M49" s="2" t="str">
        <f aca="false">IF(K49&gt;=workload_config!$B$2,"Overloaded",IF(K49&lt;workload_config!$B$3,"Underutilized","Optimal"))</f>
        <v>Optimal</v>
      </c>
      <c r="N49" s="2" t="n">
        <f aca="false">MAX(0,ROUND(F49*workload_config!$B$4/100-J49,0))</f>
        <v>7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326</v>
      </c>
      <c r="D50" s="2" t="s">
        <v>169</v>
      </c>
      <c r="E50" s="2" t="n">
        <v>25</v>
      </c>
      <c r="F50" s="2" t="n">
        <v>40</v>
      </c>
      <c r="G50" s="2" t="n">
        <f aca="false">ROUND(E50/F50*100,0)</f>
        <v>63</v>
      </c>
      <c r="H50" s="2" t="n">
        <f aca="false">SUMIFS(rebalance_recommendations!$J:$J,rebalance_recommendations!$K:$K,A50)</f>
        <v>0</v>
      </c>
      <c r="I50" s="2" t="n">
        <f aca="false">SUMIFS(rebalance_recommendations!$J:$J,rebalance_recommendations!$M:$M,A50)</f>
        <v>0</v>
      </c>
      <c r="J50" s="2" t="n">
        <f aca="false">E50-H50+I50</f>
        <v>25</v>
      </c>
      <c r="K50" s="2" t="n">
        <f aca="false">ROUND(J50/F50*100,0)</f>
        <v>63</v>
      </c>
      <c r="L50" s="2" t="str">
        <f aca="false">IF(G50&gt;=workload_config!$B$2,"Overloaded",IF(G50&lt;workload_config!$B$3,"Underutilized","Optimal"))</f>
        <v>Optimal</v>
      </c>
      <c r="M50" s="2" t="str">
        <f aca="false">IF(K50&gt;=workload_config!$B$2,"Overloaded",IF(K50&lt;workload_config!$B$3,"Underutilized","Optimal"))</f>
        <v>Optimal</v>
      </c>
      <c r="N50" s="2" t="n">
        <f aca="false">MAX(0,ROUND(F50*workload_config!$B$4/100-J50,0))</f>
        <v>7</v>
      </c>
    </row>
    <row r="51" customFormat="false" ht="15" hidden="false" customHeight="false" outlineLevel="0" collapsed="false">
      <c r="A51" s="2" t="s">
        <v>128</v>
      </c>
      <c r="B51" s="2" t="s">
        <v>129</v>
      </c>
      <c r="C51" s="2" t="s">
        <v>327</v>
      </c>
      <c r="D51" s="2" t="s">
        <v>119</v>
      </c>
      <c r="E51" s="2" t="n">
        <v>24</v>
      </c>
      <c r="F51" s="2" t="n">
        <v>40</v>
      </c>
      <c r="G51" s="2" t="n">
        <f aca="false">ROUND(E51/F51*100,0)</f>
        <v>60</v>
      </c>
      <c r="H51" s="2" t="n">
        <f aca="false">SUMIFS(rebalance_recommendations!$J:$J,rebalance_recommendations!$K:$K,A51)</f>
        <v>0</v>
      </c>
      <c r="I51" s="2" t="n">
        <f aca="false">SUMIFS(rebalance_recommendations!$J:$J,rebalance_recommendations!$M:$M,A51)</f>
        <v>7</v>
      </c>
      <c r="J51" s="2" t="n">
        <f aca="false">E51-H51+I51</f>
        <v>31</v>
      </c>
      <c r="K51" s="2" t="n">
        <f aca="false">ROUND(J51/F51*100,0)</f>
        <v>78</v>
      </c>
      <c r="L51" s="2" t="str">
        <f aca="false">IF(G51&gt;=workload_config!$B$2,"Overloaded",IF(G51&lt;workload_config!$B$3,"Underutilized","Optimal"))</f>
        <v>Optimal</v>
      </c>
      <c r="M51" s="2" t="str">
        <f aca="false">IF(K51&gt;=workload_config!$B$2,"Overloaded",IF(K51&lt;workload_config!$B$3,"Underutilized","Optimal"))</f>
        <v>Optimal</v>
      </c>
      <c r="N51" s="2" t="n">
        <f aca="false">MAX(0,ROUND(F51*workload_config!$B$4/100-J51,0))</f>
        <v>1</v>
      </c>
    </row>
    <row r="52" customFormat="false" ht="15" hidden="false" customHeight="false" outlineLevel="0" collapsed="false">
      <c r="A52" s="2" t="s">
        <v>153</v>
      </c>
      <c r="B52" s="2" t="s">
        <v>154</v>
      </c>
      <c r="C52" s="2" t="s">
        <v>317</v>
      </c>
      <c r="D52" s="2" t="s">
        <v>146</v>
      </c>
      <c r="E52" s="2" t="n">
        <v>24</v>
      </c>
      <c r="F52" s="2" t="n">
        <v>40</v>
      </c>
      <c r="G52" s="2" t="n">
        <f aca="false">ROUND(E52/F52*100,0)</f>
        <v>60</v>
      </c>
      <c r="H52" s="2" t="n">
        <f aca="false">SUMIFS(rebalance_recommendations!$J:$J,rebalance_recommendations!$K:$K,A52)</f>
        <v>0</v>
      </c>
      <c r="I52" s="2" t="n">
        <f aca="false">SUMIFS(rebalance_recommendations!$J:$J,rebalance_recommendations!$M:$M,A52)</f>
        <v>0</v>
      </c>
      <c r="J52" s="2" t="n">
        <f aca="false">E52-H52+I52</f>
        <v>24</v>
      </c>
      <c r="K52" s="2" t="n">
        <f aca="false">ROUND(J52/F52*100,0)</f>
        <v>60</v>
      </c>
      <c r="L52" s="2" t="str">
        <f aca="false">IF(G52&gt;=workload_config!$B$2,"Overloaded",IF(G52&lt;workload_config!$B$3,"Underutilized","Optimal"))</f>
        <v>Optimal</v>
      </c>
      <c r="M52" s="2" t="str">
        <f aca="false">IF(K52&gt;=workload_config!$B$2,"Overloaded",IF(K52&lt;workload_config!$B$3,"Underutilized","Optimal"))</f>
        <v>Optimal</v>
      </c>
      <c r="N52" s="2" t="n">
        <f aca="false">MAX(0,ROUND(F52*workload_config!$B$4/100-J52,0))</f>
        <v>8</v>
      </c>
    </row>
    <row r="53" customFormat="false" ht="15" hidden="false" customHeight="false" outlineLevel="0" collapsed="false">
      <c r="A53" s="2" t="s">
        <v>97</v>
      </c>
      <c r="B53" s="2" t="s">
        <v>98</v>
      </c>
      <c r="C53" s="2" t="s">
        <v>328</v>
      </c>
      <c r="D53" s="2" t="s">
        <v>96</v>
      </c>
      <c r="E53" s="2" t="n">
        <v>20</v>
      </c>
      <c r="F53" s="2" t="n">
        <v>40</v>
      </c>
      <c r="G53" s="2" t="n">
        <f aca="false">ROUND(E53/F53*100,0)</f>
        <v>50</v>
      </c>
      <c r="H53" s="2" t="n">
        <f aca="false">SUMIFS(rebalance_recommendations!$J:$J,rebalance_recommendations!$K:$K,A53)</f>
        <v>0</v>
      </c>
      <c r="I53" s="2" t="n">
        <f aca="false">SUMIFS(rebalance_recommendations!$J:$J,rebalance_recommendations!$M:$M,A53)</f>
        <v>12</v>
      </c>
      <c r="J53" s="2" t="n">
        <f aca="false">E53-H53+I53</f>
        <v>32</v>
      </c>
      <c r="K53" s="2" t="n">
        <f aca="false">ROUND(J53/F53*100,0)</f>
        <v>80</v>
      </c>
      <c r="L53" s="2" t="str">
        <f aca="false">IF(G53&gt;=workload_config!$B$2,"Overloaded",IF(G53&lt;workload_config!$B$3,"Underutilized","Optimal"))</f>
        <v>Optimal</v>
      </c>
      <c r="M53" s="2" t="str">
        <f aca="false">IF(K53&gt;=workload_config!$B$2,"Overloaded",IF(K53&lt;workload_config!$B$3,"Underutilized","Optimal"))</f>
        <v>Optimal</v>
      </c>
      <c r="N53" s="2" t="n">
        <f aca="false">MAX(0,ROUND(F53*workload_config!$B$4/100-J53,0))</f>
        <v>0</v>
      </c>
    </row>
    <row r="54" customFormat="false" ht="15" hidden="false" customHeight="false" outlineLevel="0" collapsed="false">
      <c r="A54" s="2" t="s">
        <v>117</v>
      </c>
      <c r="B54" s="2" t="s">
        <v>118</v>
      </c>
      <c r="C54" s="2" t="s">
        <v>319</v>
      </c>
      <c r="D54" s="2" t="s">
        <v>119</v>
      </c>
      <c r="E54" s="2" t="n">
        <v>20</v>
      </c>
      <c r="F54" s="2" t="n">
        <v>40</v>
      </c>
      <c r="G54" s="2" t="n">
        <f aca="false">ROUND(E54/F54*100,0)</f>
        <v>50</v>
      </c>
      <c r="H54" s="2" t="n">
        <f aca="false">SUMIFS(rebalance_recommendations!$J:$J,rebalance_recommendations!$K:$K,A54)</f>
        <v>0</v>
      </c>
      <c r="I54" s="2" t="n">
        <f aca="false">SUMIFS(rebalance_recommendations!$J:$J,rebalance_recommendations!$M:$M,A54)</f>
        <v>8</v>
      </c>
      <c r="J54" s="2" t="n">
        <f aca="false">E54-H54+I54</f>
        <v>28</v>
      </c>
      <c r="K54" s="2" t="n">
        <f aca="false">ROUND(J54/F54*100,0)</f>
        <v>70</v>
      </c>
      <c r="L54" s="2" t="str">
        <f aca="false">IF(G54&gt;=workload_config!$B$2,"Overloaded",IF(G54&lt;workload_config!$B$3,"Underutilized","Optimal"))</f>
        <v>Optimal</v>
      </c>
      <c r="M54" s="2" t="str">
        <f aca="false">IF(K54&gt;=workload_config!$B$2,"Overloaded",IF(K54&lt;workload_config!$B$3,"Underutilized","Optimal"))</f>
        <v>Optimal</v>
      </c>
      <c r="N54" s="2" t="n">
        <f aca="false">MAX(0,ROUND(F54*workload_config!$B$4/100-J54,0))</f>
        <v>4</v>
      </c>
    </row>
    <row r="55" customFormat="false" ht="15" hidden="false" customHeight="false" outlineLevel="0" collapsed="false">
      <c r="A55" s="2" t="s">
        <v>68</v>
      </c>
      <c r="B55" s="2" t="s">
        <v>69</v>
      </c>
      <c r="C55" s="2" t="s">
        <v>303</v>
      </c>
      <c r="D55" s="2" t="s">
        <v>67</v>
      </c>
      <c r="E55" s="2" t="n">
        <v>16</v>
      </c>
      <c r="F55" s="2" t="n">
        <v>40</v>
      </c>
      <c r="G55" s="2" t="n">
        <f aca="false">ROUND(E55/F55*100,0)</f>
        <v>40</v>
      </c>
      <c r="H55" s="2" t="n">
        <f aca="false">SUMIFS(rebalance_recommendations!$J:$J,rebalance_recommendations!$K:$K,A55)</f>
        <v>0</v>
      </c>
      <c r="I55" s="2" t="n">
        <f aca="false">SUMIFS(rebalance_recommendations!$J:$J,rebalance_recommendations!$M:$M,A55)</f>
        <v>11</v>
      </c>
      <c r="J55" s="2" t="n">
        <f aca="false">E55-H55+I55</f>
        <v>27</v>
      </c>
      <c r="K55" s="2" t="n">
        <f aca="false">ROUND(J55/F55*100,0)</f>
        <v>68</v>
      </c>
      <c r="L55" s="2" t="str">
        <f aca="false">IF(G55&gt;=workload_config!$B$2,"Overloaded",IF(G55&lt;workload_config!$B$3,"Underutilized","Optimal"))</f>
        <v>Underutilized</v>
      </c>
      <c r="M55" s="2" t="str">
        <f aca="false">IF(K55&gt;=workload_config!$B$2,"Overloaded",IF(K55&lt;workload_config!$B$3,"Underutilized","Optimal"))</f>
        <v>Optimal</v>
      </c>
      <c r="N55" s="2" t="n">
        <f aca="false">MAX(0,ROUND(F55*workload_config!$B$4/100-J55,0))</f>
        <v>5</v>
      </c>
    </row>
    <row r="56" customFormat="false" ht="15" hidden="false" customHeight="false" outlineLevel="0" collapsed="false">
      <c r="A56" s="2" t="s">
        <v>147</v>
      </c>
      <c r="B56" s="2" t="s">
        <v>148</v>
      </c>
      <c r="C56" s="2" t="s">
        <v>311</v>
      </c>
      <c r="D56" s="2" t="s">
        <v>146</v>
      </c>
      <c r="E56" s="2" t="n">
        <v>16</v>
      </c>
      <c r="F56" s="2" t="n">
        <v>40</v>
      </c>
      <c r="G56" s="2" t="n">
        <f aca="false">ROUND(E56/F56*100,0)</f>
        <v>40</v>
      </c>
      <c r="H56" s="2" t="n">
        <f aca="false">SUMIFS(rebalance_recommendations!$J:$J,rebalance_recommendations!$K:$K,A56)</f>
        <v>0</v>
      </c>
      <c r="I56" s="2" t="n">
        <f aca="false">SUMIFS(rebalance_recommendations!$J:$J,rebalance_recommendations!$M:$M,A56)</f>
        <v>9</v>
      </c>
      <c r="J56" s="2" t="n">
        <f aca="false">E56-H56+I56</f>
        <v>25</v>
      </c>
      <c r="K56" s="2" t="n">
        <f aca="false">ROUND(J56/F56*100,0)</f>
        <v>63</v>
      </c>
      <c r="L56" s="2" t="str">
        <f aca="false">IF(G56&gt;=workload_config!$B$2,"Overloaded",IF(G56&lt;workload_config!$B$3,"Underutilized","Optimal"))</f>
        <v>Underutilized</v>
      </c>
      <c r="M56" s="2" t="str">
        <f aca="false">IF(K56&gt;=workload_config!$B$2,"Overloaded",IF(K56&lt;workload_config!$B$3,"Underutilized","Optimal"))</f>
        <v>Optimal</v>
      </c>
      <c r="N56" s="2" t="n">
        <f aca="false">MAX(0,ROUND(F56*workload_config!$B$4/100-J56,0))</f>
        <v>7</v>
      </c>
    </row>
    <row r="57" customFormat="false" ht="15" hidden="false" customHeight="false" outlineLevel="0" collapsed="false">
      <c r="A57" s="2" t="s">
        <v>178</v>
      </c>
      <c r="B57" s="2" t="s">
        <v>179</v>
      </c>
      <c r="C57" s="2" t="s">
        <v>329</v>
      </c>
      <c r="D57" s="2" t="s">
        <v>169</v>
      </c>
      <c r="E57" s="2" t="n">
        <v>16</v>
      </c>
      <c r="F57" s="2" t="n">
        <v>40</v>
      </c>
      <c r="G57" s="2" t="n">
        <f aca="false">ROUND(E57/F57*100,0)</f>
        <v>40</v>
      </c>
      <c r="H57" s="2" t="n">
        <f aca="false">SUMIFS(rebalance_recommendations!$J:$J,rebalance_recommendations!$K:$K,A57)</f>
        <v>0</v>
      </c>
      <c r="I57" s="2" t="n">
        <f aca="false">SUMIFS(rebalance_recommendations!$J:$J,rebalance_recommendations!$M:$M,A57)</f>
        <v>14</v>
      </c>
      <c r="J57" s="2" t="n">
        <f aca="false">E57-H57+I57</f>
        <v>30</v>
      </c>
      <c r="K57" s="2" t="n">
        <f aca="false">ROUND(J57/F57*100,0)</f>
        <v>75</v>
      </c>
      <c r="L57" s="2" t="str">
        <f aca="false">IF(G57&gt;=workload_config!$B$2,"Overloaded",IF(G57&lt;workload_config!$B$3,"Underutilized","Optimal"))</f>
        <v>Underutilized</v>
      </c>
      <c r="M57" s="2" t="str">
        <f aca="false">IF(K57&gt;=workload_config!$B$2,"Overloaded",IF(K57&lt;workload_config!$B$3,"Underutilized","Optimal"))</f>
        <v>Optimal</v>
      </c>
      <c r="N57" s="2" t="n">
        <f aca="false">MAX(0,ROUND(F57*workload_config!$B$4/100-J57,0))</f>
        <v>2</v>
      </c>
    </row>
    <row r="58" customFormat="false" ht="15" hidden="false" customHeight="false" outlineLevel="0" collapsed="false">
      <c r="A58" s="2" t="s">
        <v>94</v>
      </c>
      <c r="B58" s="2" t="s">
        <v>95</v>
      </c>
      <c r="C58" s="2" t="s">
        <v>314</v>
      </c>
      <c r="D58" s="2" t="s">
        <v>96</v>
      </c>
      <c r="E58" s="2" t="n">
        <v>15</v>
      </c>
      <c r="F58" s="2" t="n">
        <v>40</v>
      </c>
      <c r="G58" s="2" t="n">
        <f aca="false">ROUND(E58/F58*100,0)</f>
        <v>38</v>
      </c>
      <c r="H58" s="2" t="n">
        <f aca="false">SUMIFS(rebalance_recommendations!$J:$J,rebalance_recommendations!$K:$K,A58)</f>
        <v>0</v>
      </c>
      <c r="I58" s="2" t="n">
        <f aca="false">SUMIFS(rebalance_recommendations!$J:$J,rebalance_recommendations!$M:$M,A58)</f>
        <v>9</v>
      </c>
      <c r="J58" s="2" t="n">
        <f aca="false">E58-H58+I58</f>
        <v>24</v>
      </c>
      <c r="K58" s="2" t="n">
        <f aca="false">ROUND(J58/F58*100,0)</f>
        <v>60</v>
      </c>
      <c r="L58" s="2" t="str">
        <f aca="false">IF(G58&gt;=workload_config!$B$2,"Overloaded",IF(G58&lt;workload_config!$B$3,"Underutilized","Optimal"))</f>
        <v>Underutilized</v>
      </c>
      <c r="M58" s="2" t="str">
        <f aca="false">IF(K58&gt;=workload_config!$B$2,"Overloaded",IF(K58&lt;workload_config!$B$3,"Underutilized","Optimal"))</f>
        <v>Optimal</v>
      </c>
      <c r="N58" s="2" t="n">
        <f aca="false">MAX(0,ROUND(F58*workload_config!$B$4/100-J58,0))</f>
        <v>8</v>
      </c>
    </row>
    <row r="59" customFormat="false" ht="15" hidden="false" customHeight="false" outlineLevel="0" collapsed="false">
      <c r="A59" s="2" t="s">
        <v>138</v>
      </c>
      <c r="B59" s="2" t="s">
        <v>139</v>
      </c>
      <c r="C59" s="2" t="s">
        <v>321</v>
      </c>
      <c r="D59" s="2" t="s">
        <v>119</v>
      </c>
      <c r="E59" s="2" t="n">
        <v>14</v>
      </c>
      <c r="F59" s="2" t="n">
        <v>40</v>
      </c>
      <c r="G59" s="2" t="n">
        <f aca="false">ROUND(E59/F59*100,0)</f>
        <v>35</v>
      </c>
      <c r="H59" s="2" t="n">
        <f aca="false">SUMIFS(rebalance_recommendations!$J:$J,rebalance_recommendations!$K:$K,A59)</f>
        <v>0</v>
      </c>
      <c r="I59" s="2" t="n">
        <f aca="false">SUMIFS(rebalance_recommendations!$J:$J,rebalance_recommendations!$M:$M,A59)</f>
        <v>20</v>
      </c>
      <c r="J59" s="2" t="n">
        <f aca="false">E59-H59+I59</f>
        <v>34</v>
      </c>
      <c r="K59" s="2" t="n">
        <f aca="false">ROUND(J59/F59*100,0)</f>
        <v>85</v>
      </c>
      <c r="L59" s="2" t="str">
        <f aca="false">IF(G59&gt;=workload_config!$B$2,"Overloaded",IF(G59&lt;workload_config!$B$3,"Underutilized","Optimal"))</f>
        <v>Underutilized</v>
      </c>
      <c r="M59" s="2" t="str">
        <f aca="false">IF(K59&gt;=workload_config!$B$2,"Overloaded",IF(K59&lt;workload_config!$B$3,"Underutilized","Optimal"))</f>
        <v>Optimal</v>
      </c>
      <c r="N59" s="2" t="n">
        <f aca="false">MAX(0,ROUND(F59*workload_config!$B$4/100-J59,0))</f>
        <v>0</v>
      </c>
    </row>
    <row r="60" customFormat="false" ht="15" hidden="false" customHeight="false" outlineLevel="0" collapsed="false">
      <c r="A60" s="2" t="s">
        <v>144</v>
      </c>
      <c r="B60" s="2" t="s">
        <v>145</v>
      </c>
      <c r="C60" s="2" t="s">
        <v>316</v>
      </c>
      <c r="D60" s="2" t="s">
        <v>146</v>
      </c>
      <c r="E60" s="2" t="n">
        <v>14</v>
      </c>
      <c r="F60" s="2" t="n">
        <v>40</v>
      </c>
      <c r="G60" s="2" t="n">
        <f aca="false">ROUND(E60/F60*100,0)</f>
        <v>35</v>
      </c>
      <c r="H60" s="2" t="n">
        <f aca="false">SUMIFS(rebalance_recommendations!$J:$J,rebalance_recommendations!$K:$K,A60)</f>
        <v>0</v>
      </c>
      <c r="I60" s="2" t="n">
        <f aca="false">SUMIFS(rebalance_recommendations!$J:$J,rebalance_recommendations!$M:$M,A60)</f>
        <v>0</v>
      </c>
      <c r="J60" s="2" t="n">
        <f aca="false">E60-H60+I60</f>
        <v>14</v>
      </c>
      <c r="K60" s="2" t="n">
        <f aca="false">ROUND(J60/F60*100,0)</f>
        <v>35</v>
      </c>
      <c r="L60" s="2" t="str">
        <f aca="false">IF(G60&gt;=workload_config!$B$2,"Overloaded",IF(G60&lt;workload_config!$B$3,"Underutilized","Optimal"))</f>
        <v>Underutilized</v>
      </c>
      <c r="M60" s="2" t="str">
        <f aca="false">IF(K60&gt;=workload_config!$B$2,"Overloaded",IF(K60&lt;workload_config!$B$3,"Underutilized","Optimal"))</f>
        <v>Underutilized</v>
      </c>
      <c r="N60" s="2" t="n">
        <f aca="false">MAX(0,ROUND(F60*workload_config!$B$4/100-J60,0))</f>
        <v>18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304</v>
      </c>
      <c r="D61" s="2" t="s">
        <v>96</v>
      </c>
      <c r="E61" s="2" t="n">
        <v>12</v>
      </c>
      <c r="F61" s="2" t="n">
        <v>40</v>
      </c>
      <c r="G61" s="2" t="n">
        <f aca="false">ROUND(E61/F61*100,0)</f>
        <v>30</v>
      </c>
      <c r="H61" s="2" t="n">
        <f aca="false">SUMIFS(rebalance_recommendations!$J:$J,rebalance_recommendations!$K:$K,A61)</f>
        <v>0</v>
      </c>
      <c r="I61" s="2" t="n">
        <f aca="false">SUMIFS(rebalance_recommendations!$J:$J,rebalance_recommendations!$M:$M,A61)</f>
        <v>14</v>
      </c>
      <c r="J61" s="2" t="n">
        <f aca="false">E61-H61+I61</f>
        <v>26</v>
      </c>
      <c r="K61" s="2" t="n">
        <f aca="false">ROUND(J61/F61*100,0)</f>
        <v>65</v>
      </c>
      <c r="L61" s="2" t="str">
        <f aca="false">IF(G61&gt;=workload_config!$B$2,"Overloaded",IF(G61&lt;workload_config!$B$3,"Underutilized","Optimal"))</f>
        <v>Underutilized</v>
      </c>
      <c r="M61" s="2" t="str">
        <f aca="false">IF(K61&gt;=workload_config!$B$2,"Overloaded",IF(K61&lt;workload_config!$B$3,"Underutilized","Optimal"))</f>
        <v>Optimal</v>
      </c>
      <c r="N61" s="2" t="n">
        <f aca="false">MAX(0,ROUND(F61*workload_config!$B$4/100-J61,0))</f>
        <v>6</v>
      </c>
    </row>
  </sheetData>
  <autoFilter ref="A1:N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21"/>
    <col collapsed="false" customWidth="true" hidden="false" outlineLevel="0" max="12" min="12" style="0" width="20"/>
    <col collapsed="false" customWidth="true" hidden="false" outlineLevel="0" max="13" min="13" style="0" width="19"/>
    <col collapsed="false" customWidth="true" hidden="false" outlineLevel="0" max="14" min="14" style="0" width="16"/>
    <col collapsed="false" customWidth="true" hidden="false" outlineLevel="0" max="15" min="15" style="0" width="18"/>
  </cols>
  <sheetData>
    <row r="1" customFormat="false" ht="23.85" hidden="false" customHeight="false" outlineLevel="0" collapsed="false">
      <c r="A1" s="4" t="s">
        <v>330</v>
      </c>
      <c r="B1" s="4" t="s">
        <v>331</v>
      </c>
      <c r="C1" s="4" t="s">
        <v>200</v>
      </c>
      <c r="D1" s="4" t="s">
        <v>201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207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332</v>
      </c>
      <c r="O1" s="4" t="s">
        <v>333</v>
      </c>
    </row>
    <row r="2" customFormat="false" ht="15" hidden="false" customHeight="false" outlineLevel="0" collapsed="false">
      <c r="A2" s="2" t="s">
        <v>334</v>
      </c>
      <c r="B2" s="2" t="s">
        <v>335</v>
      </c>
      <c r="C2" s="2" t="s">
        <v>336</v>
      </c>
      <c r="D2" s="2" t="s">
        <v>337</v>
      </c>
      <c r="E2" s="2" t="s">
        <v>117</v>
      </c>
      <c r="F2" s="2" t="s">
        <v>118</v>
      </c>
      <c r="G2" s="2" t="s">
        <v>128</v>
      </c>
      <c r="H2" s="2" t="s">
        <v>129</v>
      </c>
      <c r="I2" s="2" t="n">
        <v>11</v>
      </c>
      <c r="J2" s="2" t="n">
        <v>126</v>
      </c>
      <c r="K2" s="2" t="n">
        <v>98</v>
      </c>
      <c r="L2" s="2" t="n">
        <v>38</v>
      </c>
      <c r="M2" s="2" t="n">
        <v>66</v>
      </c>
      <c r="N2" s="2" t="s">
        <v>338</v>
      </c>
      <c r="O2" s="2" t="s">
        <v>339</v>
      </c>
    </row>
    <row r="3" customFormat="false" ht="15" hidden="false" customHeight="false" outlineLevel="0" collapsed="false">
      <c r="A3" s="2" t="s">
        <v>340</v>
      </c>
      <c r="B3" s="2" t="s">
        <v>341</v>
      </c>
      <c r="C3" s="2" t="s">
        <v>342</v>
      </c>
      <c r="D3" s="2" t="s">
        <v>343</v>
      </c>
      <c r="E3" s="2" t="s">
        <v>113</v>
      </c>
      <c r="F3" s="2" t="s">
        <v>114</v>
      </c>
      <c r="G3" s="2" t="s">
        <v>101</v>
      </c>
      <c r="H3" s="2" t="s">
        <v>102</v>
      </c>
      <c r="I3" s="2" t="n">
        <v>8</v>
      </c>
      <c r="J3" s="2" t="n">
        <v>115</v>
      </c>
      <c r="K3" s="2" t="n">
        <v>95</v>
      </c>
      <c r="L3" s="2" t="n">
        <v>53</v>
      </c>
      <c r="M3" s="2" t="n">
        <v>73</v>
      </c>
      <c r="N3" s="2" t="s">
        <v>338</v>
      </c>
      <c r="O3" s="2" t="s">
        <v>339</v>
      </c>
    </row>
    <row r="4" customFormat="false" ht="15" hidden="false" customHeight="false" outlineLevel="0" collapsed="false">
      <c r="A4" s="2" t="s">
        <v>344</v>
      </c>
      <c r="B4" s="2" t="s">
        <v>193</v>
      </c>
      <c r="C4" s="2" t="s">
        <v>345</v>
      </c>
      <c r="D4" s="2" t="s">
        <v>346</v>
      </c>
      <c r="E4" s="2" t="s">
        <v>144</v>
      </c>
      <c r="F4" s="2" t="s">
        <v>145</v>
      </c>
      <c r="G4" s="2" t="s">
        <v>165</v>
      </c>
      <c r="H4" s="2" t="s">
        <v>166</v>
      </c>
      <c r="I4" s="2" t="n">
        <v>10</v>
      </c>
      <c r="J4" s="2" t="n">
        <v>110</v>
      </c>
      <c r="K4" s="2" t="n">
        <v>85</v>
      </c>
      <c r="L4" s="2" t="n">
        <v>37</v>
      </c>
      <c r="M4" s="2" t="n">
        <v>62</v>
      </c>
      <c r="N4" s="2" t="s">
        <v>338</v>
      </c>
      <c r="O4" s="2" t="s">
        <v>339</v>
      </c>
    </row>
    <row r="5" customFormat="false" ht="15" hidden="false" customHeight="false" outlineLevel="0" collapsed="false">
      <c r="A5" s="2" t="s">
        <v>347</v>
      </c>
      <c r="B5" s="2" t="s">
        <v>348</v>
      </c>
      <c r="C5" s="2" t="s">
        <v>349</v>
      </c>
      <c r="D5" s="2" t="s">
        <v>350</v>
      </c>
      <c r="E5" s="2" t="s">
        <v>109</v>
      </c>
      <c r="F5" s="2" t="s">
        <v>110</v>
      </c>
      <c r="G5" s="2" t="s">
        <v>105</v>
      </c>
      <c r="H5" s="2" t="s">
        <v>106</v>
      </c>
      <c r="I5" s="2" t="n">
        <v>9</v>
      </c>
      <c r="J5" s="2" t="n">
        <v>121</v>
      </c>
      <c r="K5" s="2" t="n">
        <v>99</v>
      </c>
      <c r="L5" s="2" t="n">
        <v>55</v>
      </c>
      <c r="M5" s="2" t="n">
        <v>77</v>
      </c>
      <c r="N5" s="2" t="s">
        <v>338</v>
      </c>
      <c r="O5" s="2" t="s">
        <v>339</v>
      </c>
    </row>
    <row r="6" customFormat="false" ht="15" hidden="false" customHeight="false" outlineLevel="0" collapsed="false">
      <c r="A6" s="2" t="s">
        <v>351</v>
      </c>
      <c r="B6" s="2" t="s">
        <v>352</v>
      </c>
      <c r="C6" s="2" t="s">
        <v>353</v>
      </c>
      <c r="D6" s="2" t="s">
        <v>354</v>
      </c>
      <c r="E6" s="2" t="s">
        <v>130</v>
      </c>
      <c r="F6" s="2" t="s">
        <v>131</v>
      </c>
      <c r="G6" s="2" t="s">
        <v>126</v>
      </c>
      <c r="H6" s="2" t="s">
        <v>127</v>
      </c>
      <c r="I6" s="2" t="n">
        <v>9</v>
      </c>
      <c r="J6" s="2" t="n">
        <v>105</v>
      </c>
      <c r="K6" s="2" t="n">
        <v>83</v>
      </c>
      <c r="L6" s="2" t="n">
        <v>56</v>
      </c>
      <c r="M6" s="2" t="n">
        <v>78</v>
      </c>
      <c r="N6" s="2" t="s">
        <v>338</v>
      </c>
      <c r="O6" s="2" t="s">
        <v>339</v>
      </c>
    </row>
    <row r="7" customFormat="false" ht="15" hidden="false" customHeight="false" outlineLevel="0" collapsed="false">
      <c r="A7" s="2" t="s">
        <v>355</v>
      </c>
      <c r="B7" s="2" t="s">
        <v>356</v>
      </c>
      <c r="C7" s="2" t="s">
        <v>357</v>
      </c>
      <c r="D7" s="2" t="s">
        <v>358</v>
      </c>
      <c r="E7" s="2" t="s">
        <v>163</v>
      </c>
      <c r="F7" s="2" t="s">
        <v>164</v>
      </c>
      <c r="G7" s="2" t="s">
        <v>165</v>
      </c>
      <c r="H7" s="2" t="s">
        <v>166</v>
      </c>
      <c r="I7" s="2" t="n">
        <v>8</v>
      </c>
      <c r="J7" s="2" t="n">
        <v>126</v>
      </c>
      <c r="K7" s="2" t="n">
        <v>106</v>
      </c>
      <c r="L7" s="2" t="n">
        <v>58</v>
      </c>
      <c r="M7" s="2" t="n">
        <v>78</v>
      </c>
      <c r="N7" s="2" t="s">
        <v>338</v>
      </c>
      <c r="O7" s="2" t="s">
        <v>339</v>
      </c>
    </row>
    <row r="8" customFormat="false" ht="15" hidden="false" customHeight="false" outlineLevel="0" collapsed="false">
      <c r="A8" s="2" t="s">
        <v>359</v>
      </c>
      <c r="B8" s="2" t="s">
        <v>360</v>
      </c>
      <c r="C8" s="2" t="s">
        <v>361</v>
      </c>
      <c r="D8" s="2" t="s">
        <v>362</v>
      </c>
      <c r="E8" s="2" t="s">
        <v>111</v>
      </c>
      <c r="F8" s="2" t="s">
        <v>112</v>
      </c>
      <c r="G8" s="2" t="s">
        <v>107</v>
      </c>
      <c r="H8" s="2" t="s">
        <v>108</v>
      </c>
      <c r="I8" s="2" t="n">
        <v>10</v>
      </c>
      <c r="J8" s="2" t="n">
        <v>109</v>
      </c>
      <c r="K8" s="2" t="n">
        <v>84</v>
      </c>
      <c r="L8" s="2" t="n">
        <v>55</v>
      </c>
      <c r="M8" s="2" t="n">
        <v>80</v>
      </c>
      <c r="N8" s="2" t="s">
        <v>363</v>
      </c>
      <c r="O8" s="2" t="s">
        <v>364</v>
      </c>
    </row>
    <row r="9" customFormat="false" ht="15" hidden="false" customHeight="false" outlineLevel="0" collapsed="false">
      <c r="A9" s="2" t="s">
        <v>365</v>
      </c>
      <c r="B9" s="2" t="s">
        <v>366</v>
      </c>
      <c r="C9" s="2" t="s">
        <v>367</v>
      </c>
      <c r="D9" s="2" t="s">
        <v>368</v>
      </c>
      <c r="E9" s="2" t="s">
        <v>151</v>
      </c>
      <c r="F9" s="2" t="s">
        <v>152</v>
      </c>
      <c r="G9" s="2" t="s">
        <v>163</v>
      </c>
      <c r="H9" s="2" t="s">
        <v>164</v>
      </c>
      <c r="I9" s="2" t="n">
        <v>11</v>
      </c>
      <c r="J9" s="2" t="n">
        <v>95</v>
      </c>
      <c r="K9" s="2" t="n">
        <v>67</v>
      </c>
      <c r="L9" s="2" t="n">
        <v>42</v>
      </c>
      <c r="M9" s="2" t="n">
        <v>70</v>
      </c>
      <c r="N9" s="2" t="s">
        <v>338</v>
      </c>
      <c r="O9" s="2" t="s">
        <v>339</v>
      </c>
    </row>
    <row r="10" customFormat="false" ht="15" hidden="false" customHeight="false" outlineLevel="0" collapsed="false">
      <c r="A10" s="2" t="s">
        <v>369</v>
      </c>
      <c r="B10" s="2" t="s">
        <v>348</v>
      </c>
      <c r="C10" s="2" t="s">
        <v>370</v>
      </c>
      <c r="D10" s="2" t="s">
        <v>346</v>
      </c>
      <c r="E10" s="2" t="s">
        <v>80</v>
      </c>
      <c r="F10" s="2" t="s">
        <v>81</v>
      </c>
      <c r="G10" s="2" t="s">
        <v>74</v>
      </c>
      <c r="H10" s="2" t="s">
        <v>75</v>
      </c>
      <c r="I10" s="2" t="n">
        <v>7</v>
      </c>
      <c r="J10" s="2" t="n">
        <v>96</v>
      </c>
      <c r="K10" s="2" t="n">
        <v>78</v>
      </c>
      <c r="L10" s="2" t="n">
        <v>41</v>
      </c>
      <c r="M10" s="2" t="n">
        <v>59</v>
      </c>
      <c r="N10" s="2" t="s">
        <v>363</v>
      </c>
      <c r="O10" s="2" t="s">
        <v>339</v>
      </c>
    </row>
    <row r="11" customFormat="false" ht="15" hidden="false" customHeight="false" outlineLevel="0" collapsed="false">
      <c r="A11" s="2" t="s">
        <v>371</v>
      </c>
      <c r="B11" s="2" t="s">
        <v>372</v>
      </c>
      <c r="C11" s="2" t="s">
        <v>373</v>
      </c>
      <c r="D11" s="2" t="s">
        <v>279</v>
      </c>
      <c r="E11" s="2" t="s">
        <v>103</v>
      </c>
      <c r="F11" s="2" t="s">
        <v>104</v>
      </c>
      <c r="G11" s="2" t="s">
        <v>97</v>
      </c>
      <c r="H11" s="2" t="s">
        <v>98</v>
      </c>
      <c r="I11" s="2" t="n">
        <v>10</v>
      </c>
      <c r="J11" s="2" t="n">
        <v>117</v>
      </c>
      <c r="K11" s="2" t="n">
        <v>92</v>
      </c>
      <c r="L11" s="2" t="n">
        <v>55</v>
      </c>
      <c r="M11" s="2" t="n">
        <v>80</v>
      </c>
      <c r="N11" s="2" t="s">
        <v>338</v>
      </c>
      <c r="O11" s="2" t="s">
        <v>339</v>
      </c>
    </row>
    <row r="12" customFormat="false" ht="15" hidden="false" customHeight="false" outlineLevel="0" collapsed="false">
      <c r="A12" s="2" t="s">
        <v>374</v>
      </c>
      <c r="B12" s="2" t="s">
        <v>375</v>
      </c>
      <c r="C12" s="2" t="s">
        <v>376</v>
      </c>
      <c r="D12" s="2" t="s">
        <v>377</v>
      </c>
      <c r="E12" s="2" t="s">
        <v>74</v>
      </c>
      <c r="F12" s="2" t="s">
        <v>75</v>
      </c>
      <c r="G12" s="2" t="s">
        <v>88</v>
      </c>
      <c r="H12" s="2" t="s">
        <v>89</v>
      </c>
      <c r="I12" s="2" t="n">
        <v>7</v>
      </c>
      <c r="J12" s="2" t="n">
        <v>107</v>
      </c>
      <c r="K12" s="2" t="n">
        <v>89</v>
      </c>
      <c r="L12" s="2" t="n">
        <v>58</v>
      </c>
      <c r="M12" s="2" t="n">
        <v>76</v>
      </c>
      <c r="N12" s="2" t="s">
        <v>363</v>
      </c>
      <c r="O12" s="2" t="s">
        <v>364</v>
      </c>
    </row>
    <row r="13" customFormat="false" ht="15" hidden="false" customHeight="false" outlineLevel="0" collapsed="false">
      <c r="A13" s="2" t="s">
        <v>378</v>
      </c>
      <c r="B13" s="2" t="s">
        <v>379</v>
      </c>
      <c r="C13" s="2" t="s">
        <v>222</v>
      </c>
      <c r="D13" s="2" t="s">
        <v>223</v>
      </c>
      <c r="E13" s="2" t="s">
        <v>128</v>
      </c>
      <c r="F13" s="2" t="s">
        <v>129</v>
      </c>
      <c r="G13" s="2" t="s">
        <v>122</v>
      </c>
      <c r="H13" s="2" t="s">
        <v>123</v>
      </c>
      <c r="I13" s="2" t="n">
        <v>10</v>
      </c>
      <c r="J13" s="2" t="n">
        <v>117</v>
      </c>
      <c r="K13" s="2" t="n">
        <v>92</v>
      </c>
      <c r="L13" s="2" t="n">
        <v>46</v>
      </c>
      <c r="M13" s="2" t="n">
        <v>71</v>
      </c>
      <c r="N13" s="2" t="s">
        <v>338</v>
      </c>
      <c r="O13" s="2" t="s">
        <v>339</v>
      </c>
    </row>
    <row r="14" customFormat="false" ht="15" hidden="false" customHeight="false" outlineLevel="0" collapsed="false">
      <c r="A14" s="2" t="s">
        <v>380</v>
      </c>
      <c r="B14" s="2" t="s">
        <v>372</v>
      </c>
      <c r="C14" s="2" t="s">
        <v>381</v>
      </c>
      <c r="D14" s="2" t="s">
        <v>382</v>
      </c>
      <c r="E14" s="2" t="s">
        <v>163</v>
      </c>
      <c r="F14" s="2" t="s">
        <v>164</v>
      </c>
      <c r="G14" s="2" t="s">
        <v>151</v>
      </c>
      <c r="H14" s="2" t="s">
        <v>152</v>
      </c>
      <c r="I14" s="2" t="n">
        <v>11</v>
      </c>
      <c r="J14" s="2" t="n">
        <v>97</v>
      </c>
      <c r="K14" s="2" t="n">
        <v>69</v>
      </c>
      <c r="L14" s="2" t="n">
        <v>59</v>
      </c>
      <c r="M14" s="2" t="n">
        <v>87</v>
      </c>
      <c r="N14" s="2" t="s">
        <v>338</v>
      </c>
      <c r="O14" s="2" t="s">
        <v>339</v>
      </c>
    </row>
    <row r="15" customFormat="false" ht="15" hidden="false" customHeight="false" outlineLevel="0" collapsed="false">
      <c r="A15" s="2" t="s">
        <v>383</v>
      </c>
      <c r="B15" s="2" t="s">
        <v>356</v>
      </c>
      <c r="C15" s="2" t="s">
        <v>384</v>
      </c>
      <c r="D15" s="2" t="s">
        <v>385</v>
      </c>
      <c r="E15" s="2" t="s">
        <v>70</v>
      </c>
      <c r="F15" s="2" t="s">
        <v>71</v>
      </c>
      <c r="G15" s="2" t="s">
        <v>92</v>
      </c>
      <c r="H15" s="2" t="s">
        <v>93</v>
      </c>
      <c r="I15" s="2" t="n">
        <v>10</v>
      </c>
      <c r="J15" s="2" t="n">
        <v>119</v>
      </c>
      <c r="K15" s="2" t="n">
        <v>94</v>
      </c>
      <c r="L15" s="2" t="n">
        <v>54</v>
      </c>
      <c r="M15" s="2" t="n">
        <v>79</v>
      </c>
      <c r="N15" s="2" t="s">
        <v>338</v>
      </c>
      <c r="O15" s="2" t="s">
        <v>339</v>
      </c>
    </row>
    <row r="16" customFormat="false" ht="15" hidden="false" customHeight="false" outlineLevel="0" collapsed="false">
      <c r="A16" s="2" t="s">
        <v>386</v>
      </c>
      <c r="B16" s="2" t="s">
        <v>335</v>
      </c>
      <c r="C16" s="2" t="s">
        <v>387</v>
      </c>
      <c r="D16" s="2" t="s">
        <v>358</v>
      </c>
      <c r="E16" s="2" t="s">
        <v>159</v>
      </c>
      <c r="F16" s="2" t="s">
        <v>160</v>
      </c>
      <c r="G16" s="2" t="s">
        <v>153</v>
      </c>
      <c r="H16" s="2" t="s">
        <v>154</v>
      </c>
      <c r="I16" s="2" t="n">
        <v>13</v>
      </c>
      <c r="J16" s="2" t="n">
        <v>125</v>
      </c>
      <c r="K16" s="2" t="n">
        <v>93</v>
      </c>
      <c r="L16" s="2" t="n">
        <v>43</v>
      </c>
      <c r="M16" s="2" t="n">
        <v>75</v>
      </c>
      <c r="N16" s="2" t="s">
        <v>363</v>
      </c>
      <c r="O16" s="2" t="s">
        <v>339</v>
      </c>
    </row>
    <row r="17" customFormat="false" ht="15" hidden="false" customHeight="false" outlineLevel="0" collapsed="false">
      <c r="A17" s="2" t="s">
        <v>388</v>
      </c>
      <c r="B17" s="2" t="s">
        <v>192</v>
      </c>
      <c r="C17" s="2" t="s">
        <v>389</v>
      </c>
      <c r="D17" s="2" t="s">
        <v>285</v>
      </c>
      <c r="E17" s="2" t="s">
        <v>140</v>
      </c>
      <c r="F17" s="2" t="s">
        <v>141</v>
      </c>
      <c r="G17" s="2" t="s">
        <v>130</v>
      </c>
      <c r="H17" s="2" t="s">
        <v>131</v>
      </c>
      <c r="I17" s="2" t="n">
        <v>7</v>
      </c>
      <c r="J17" s="2" t="n">
        <v>126</v>
      </c>
      <c r="K17" s="2" t="n">
        <v>108</v>
      </c>
      <c r="L17" s="2" t="n">
        <v>59</v>
      </c>
      <c r="M17" s="2" t="n">
        <v>77</v>
      </c>
      <c r="N17" s="2" t="s">
        <v>338</v>
      </c>
      <c r="O17" s="2" t="s">
        <v>339</v>
      </c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6" t="s">
        <v>390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391</v>
      </c>
      <c r="B3" s="3" t="s">
        <v>392</v>
      </c>
      <c r="C3" s="3" t="s">
        <v>393</v>
      </c>
    </row>
    <row r="4" customFormat="false" ht="15" hidden="false" customHeight="false" outlineLevel="0" collapsed="false">
      <c r="A4" s="2" t="s">
        <v>394</v>
      </c>
      <c r="B4" s="2" t="n">
        <f aca="false">COUNTIFS(workload_history!$A$2:$A$541,workload_config!$B$7,workload_history!$I$2:$I$541,"Overloaded")</f>
        <v>9</v>
      </c>
      <c r="C4" s="2" t="n">
        <f aca="false">COUNTIF(rebalance_employee_impact!$M$2:$M$61,"Overloaded")</f>
        <v>1</v>
      </c>
    </row>
    <row r="5" customFormat="false" ht="15" hidden="false" customHeight="false" outlineLevel="0" collapsed="false">
      <c r="A5" s="2" t="s">
        <v>395</v>
      </c>
      <c r="B5" s="2" t="n">
        <f aca="false">COUNTIFS(workload_history!$A$2:$A$541,workload_config!$B$7,workload_history!$I$2:$I$541,"Underutilized")</f>
        <v>7</v>
      </c>
      <c r="C5" s="2" t="n">
        <f aca="false">COUNTIF(rebalance_employee_impact!$M$2:$M$61,"Underutilized")</f>
        <v>1</v>
      </c>
    </row>
    <row r="6" customFormat="false" ht="15" hidden="false" customHeight="false" outlineLevel="0" collapsed="false">
      <c r="A6" s="2" t="s">
        <v>396</v>
      </c>
      <c r="B6" s="2" t="n">
        <f aca="false">COUNTIFS(workload_history!$A$2:$A$541,workload_config!$B$7,workload_history!$I$2:$I$541,"Optimal")</f>
        <v>44</v>
      </c>
      <c r="C6" s="2" t="n">
        <f aca="false">COUNTIF(rebalance_employee_impact!$M$2:$M$61,"Optimal")</f>
        <v>58</v>
      </c>
    </row>
    <row r="7" customFormat="false" ht="15" hidden="false" customHeight="false" outlineLevel="0" collapsed="false">
      <c r="A7" s="2" t="s">
        <v>397</v>
      </c>
      <c r="B7" s="7" t="n">
        <f aca="false">B4/workload_config!$B$8</f>
        <v>0.15</v>
      </c>
      <c r="C7" s="7" t="n">
        <f aca="false">C4/workload_config!$B$8</f>
        <v>0.0166666666666667</v>
      </c>
    </row>
    <row r="8" customFormat="false" ht="15" hidden="false" customHeight="false" outlineLevel="0" collapsed="false">
      <c r="A8" s="2" t="s">
        <v>398</v>
      </c>
      <c r="B8" s="7" t="n">
        <f aca="false">B5/workload_config!$B$8</f>
        <v>0.116666666666667</v>
      </c>
      <c r="C8" s="7" t="n">
        <f aca="false">C5/workload_config!$B$8</f>
        <v>0.0166666666666667</v>
      </c>
    </row>
    <row r="9" customFormat="false" ht="15" hidden="false" customHeight="false" outlineLevel="0" collapsed="false">
      <c r="A9" s="2" t="s">
        <v>399</v>
      </c>
      <c r="B9" s="7" t="n">
        <f aca="false">B6/workload_config!$B$8</f>
        <v>0.733333333333333</v>
      </c>
      <c r="C9" s="7" t="n">
        <f aca="false">C6/workload_config!$B$8</f>
        <v>0.966666666666667</v>
      </c>
    </row>
    <row r="10" customFormat="false" ht="15" hidden="false" customHeight="false" outlineLevel="0" collapsed="false">
      <c r="A10" s="2" t="s">
        <v>400</v>
      </c>
      <c r="B10" s="2"/>
      <c r="C10" s="2" t="n">
        <f aca="false">COUNTA(rebalance_recommendations!$A$2:$A$11)</f>
        <v>10</v>
      </c>
    </row>
    <row r="11" customFormat="false" ht="15" hidden="false" customHeight="false" outlineLevel="0" collapsed="false">
      <c r="A11" s="2" t="s">
        <v>401</v>
      </c>
      <c r="B11" s="2"/>
      <c r="C11" s="2" t="n">
        <f aca="false">SUM(rebalance_recommendations!$J$2:$J$11)</f>
        <v>104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0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9"/>
    <col collapsed="false" customWidth="true" hidden="false" outlineLevel="0" max="6" min="6" style="0" width="10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13"/>
  </cols>
  <sheetData>
    <row r="1" customFormat="false" ht="15" hidden="false" customHeight="false" outlineLevel="0" collapsed="false">
      <c r="A1" s="4" t="s">
        <v>403</v>
      </c>
      <c r="B1" s="4" t="s">
        <v>52</v>
      </c>
      <c r="C1" s="4" t="s">
        <v>53</v>
      </c>
      <c r="D1" s="4" t="s">
        <v>54</v>
      </c>
      <c r="E1" s="4" t="s">
        <v>289</v>
      </c>
      <c r="F1" s="4" t="s">
        <v>404</v>
      </c>
      <c r="G1" s="4" t="s">
        <v>405</v>
      </c>
      <c r="H1" s="4" t="s">
        <v>406</v>
      </c>
      <c r="I1" s="4" t="s">
        <v>407</v>
      </c>
      <c r="J1" s="4" t="s">
        <v>408</v>
      </c>
      <c r="K1" s="4" t="s">
        <v>409</v>
      </c>
      <c r="L1" s="4" t="s">
        <v>410</v>
      </c>
      <c r="M1" s="4" t="s">
        <v>411</v>
      </c>
      <c r="N1" s="4" t="s">
        <v>412</v>
      </c>
      <c r="O1" s="4" t="s">
        <v>413</v>
      </c>
      <c r="P1" s="4" t="s">
        <v>414</v>
      </c>
      <c r="Q1" s="4" t="s">
        <v>415</v>
      </c>
      <c r="R1" s="4" t="s">
        <v>220</v>
      </c>
    </row>
    <row r="2" customFormat="false" ht="15" hidden="false" customHeight="false" outlineLevel="0" collapsed="false">
      <c r="A2" s="2" t="s">
        <v>416</v>
      </c>
      <c r="B2" s="2" t="s">
        <v>74</v>
      </c>
      <c r="C2" s="2" t="s">
        <v>75</v>
      </c>
      <c r="D2" s="2" t="s">
        <v>67</v>
      </c>
      <c r="E2" s="2" t="s">
        <v>306</v>
      </c>
      <c r="F2" s="2" t="s">
        <v>280</v>
      </c>
      <c r="G2" s="2" t="s">
        <v>281</v>
      </c>
      <c r="H2" s="2" t="s">
        <v>417</v>
      </c>
      <c r="I2" s="2" t="n">
        <v>1</v>
      </c>
      <c r="J2" s="2" t="n">
        <v>1</v>
      </c>
      <c r="K2" s="2" t="n">
        <v>2</v>
      </c>
      <c r="L2" s="2" t="n">
        <f aca="false">K2-J2</f>
        <v>1</v>
      </c>
      <c r="M2" s="2" t="s">
        <v>418</v>
      </c>
      <c r="N2" s="2" t="s">
        <v>419</v>
      </c>
      <c r="O2" s="2" t="s">
        <v>247</v>
      </c>
      <c r="P2" s="2" t="n">
        <v>1</v>
      </c>
      <c r="Q2" s="2"/>
      <c r="R2" s="2" t="s">
        <v>420</v>
      </c>
    </row>
    <row r="3" customFormat="false" ht="15" hidden="false" customHeight="false" outlineLevel="0" collapsed="false">
      <c r="A3" s="2" t="s">
        <v>421</v>
      </c>
      <c r="B3" s="2" t="s">
        <v>76</v>
      </c>
      <c r="C3" s="2" t="s">
        <v>77</v>
      </c>
      <c r="D3" s="2" t="s">
        <v>67</v>
      </c>
      <c r="E3" s="2" t="s">
        <v>306</v>
      </c>
      <c r="F3" s="2" t="s">
        <v>422</v>
      </c>
      <c r="G3" s="2" t="s">
        <v>423</v>
      </c>
      <c r="H3" s="2" t="s">
        <v>424</v>
      </c>
      <c r="I3" s="2" t="n">
        <v>1</v>
      </c>
      <c r="J3" s="2" t="n">
        <v>1</v>
      </c>
      <c r="K3" s="2" t="n">
        <v>2</v>
      </c>
      <c r="L3" s="2" t="n">
        <f aca="false">K3-J3</f>
        <v>1</v>
      </c>
      <c r="M3" s="2" t="s">
        <v>418</v>
      </c>
      <c r="N3" s="2" t="s">
        <v>425</v>
      </c>
      <c r="O3" s="2" t="s">
        <v>255</v>
      </c>
      <c r="P3" s="2" t="n">
        <v>0</v>
      </c>
      <c r="Q3" s="2" t="n">
        <v>3</v>
      </c>
      <c r="R3" s="2" t="s">
        <v>420</v>
      </c>
    </row>
    <row r="4" customFormat="false" ht="15" hidden="false" customHeight="false" outlineLevel="0" collapsed="false">
      <c r="A4" s="2" t="s">
        <v>426</v>
      </c>
      <c r="B4" s="2" t="s">
        <v>78</v>
      </c>
      <c r="C4" s="2" t="s">
        <v>79</v>
      </c>
      <c r="D4" s="2" t="s">
        <v>67</v>
      </c>
      <c r="E4" s="2" t="s">
        <v>308</v>
      </c>
      <c r="F4" s="2" t="s">
        <v>427</v>
      </c>
      <c r="G4" s="2" t="s">
        <v>428</v>
      </c>
      <c r="H4" s="2" t="s">
        <v>67</v>
      </c>
      <c r="I4" s="2" t="n">
        <v>1</v>
      </c>
      <c r="J4" s="2" t="n">
        <v>1</v>
      </c>
      <c r="K4" s="2" t="n">
        <v>2</v>
      </c>
      <c r="L4" s="2" t="n">
        <f aca="false">K4-J4</f>
        <v>1</v>
      </c>
      <c r="M4" s="2" t="s">
        <v>418</v>
      </c>
      <c r="N4" s="2" t="s">
        <v>429</v>
      </c>
      <c r="O4" s="2" t="s">
        <v>247</v>
      </c>
      <c r="P4" s="2" t="n">
        <v>0</v>
      </c>
      <c r="Q4" s="2"/>
      <c r="R4" s="2" t="s">
        <v>420</v>
      </c>
    </row>
    <row r="5" customFormat="false" ht="15" hidden="false" customHeight="false" outlineLevel="0" collapsed="false">
      <c r="A5" s="2" t="s">
        <v>430</v>
      </c>
      <c r="B5" s="2" t="s">
        <v>78</v>
      </c>
      <c r="C5" s="2" t="s">
        <v>79</v>
      </c>
      <c r="D5" s="2" t="s">
        <v>67</v>
      </c>
      <c r="E5" s="2" t="s">
        <v>308</v>
      </c>
      <c r="F5" s="2" t="s">
        <v>422</v>
      </c>
      <c r="G5" s="2" t="s">
        <v>423</v>
      </c>
      <c r="H5" s="2" t="s">
        <v>424</v>
      </c>
      <c r="I5" s="2" t="n">
        <v>1</v>
      </c>
      <c r="J5" s="2" t="n">
        <v>1</v>
      </c>
      <c r="K5" s="2" t="n">
        <v>2</v>
      </c>
      <c r="L5" s="2" t="n">
        <f aca="false">K5-J5</f>
        <v>1</v>
      </c>
      <c r="M5" s="2" t="s">
        <v>418</v>
      </c>
      <c r="N5" s="2" t="s">
        <v>431</v>
      </c>
      <c r="O5" s="2" t="s">
        <v>432</v>
      </c>
      <c r="P5" s="2" t="n">
        <v>0</v>
      </c>
      <c r="Q5" s="2"/>
      <c r="R5" s="2" t="s">
        <v>420</v>
      </c>
    </row>
    <row r="6" customFormat="false" ht="15" hidden="false" customHeight="false" outlineLevel="0" collapsed="false">
      <c r="A6" s="2" t="s">
        <v>433</v>
      </c>
      <c r="B6" s="2" t="s">
        <v>84</v>
      </c>
      <c r="C6" s="2" t="s">
        <v>85</v>
      </c>
      <c r="D6" s="2" t="s">
        <v>67</v>
      </c>
      <c r="E6" s="2" t="s">
        <v>308</v>
      </c>
      <c r="F6" s="2" t="s">
        <v>434</v>
      </c>
      <c r="G6" s="2" t="s">
        <v>435</v>
      </c>
      <c r="H6" s="2" t="s">
        <v>417</v>
      </c>
      <c r="I6" s="2" t="n">
        <v>1</v>
      </c>
      <c r="J6" s="2" t="n">
        <v>1</v>
      </c>
      <c r="K6" s="2" t="n">
        <v>2</v>
      </c>
      <c r="L6" s="2" t="n">
        <f aca="false">K6-J6</f>
        <v>1</v>
      </c>
      <c r="M6" s="2" t="s">
        <v>418</v>
      </c>
      <c r="N6" s="2" t="s">
        <v>436</v>
      </c>
      <c r="O6" s="2" t="s">
        <v>432</v>
      </c>
      <c r="P6" s="2" t="n">
        <v>0</v>
      </c>
      <c r="Q6" s="2"/>
      <c r="R6" s="2" t="s">
        <v>420</v>
      </c>
    </row>
    <row r="7" customFormat="false" ht="15" hidden="false" customHeight="false" outlineLevel="0" collapsed="false">
      <c r="A7" s="2" t="s">
        <v>437</v>
      </c>
      <c r="B7" s="2" t="s">
        <v>90</v>
      </c>
      <c r="C7" s="2" t="s">
        <v>91</v>
      </c>
      <c r="D7" s="2" t="s">
        <v>67</v>
      </c>
      <c r="E7" s="2" t="s">
        <v>308</v>
      </c>
      <c r="F7" s="2" t="s">
        <v>438</v>
      </c>
      <c r="G7" s="2" t="s">
        <v>439</v>
      </c>
      <c r="H7" s="2" t="s">
        <v>67</v>
      </c>
      <c r="I7" s="2" t="n">
        <v>1</v>
      </c>
      <c r="J7" s="2" t="n">
        <v>1</v>
      </c>
      <c r="K7" s="2" t="n">
        <v>2</v>
      </c>
      <c r="L7" s="2" t="n">
        <f aca="false">K7-J7</f>
        <v>1</v>
      </c>
      <c r="M7" s="2" t="s">
        <v>418</v>
      </c>
      <c r="N7" s="2" t="s">
        <v>440</v>
      </c>
      <c r="O7" s="2" t="s">
        <v>432</v>
      </c>
      <c r="P7" s="2" t="n">
        <v>0</v>
      </c>
      <c r="Q7" s="2" t="n">
        <v>3</v>
      </c>
      <c r="R7" s="2" t="s">
        <v>420</v>
      </c>
    </row>
    <row r="8" customFormat="false" ht="15" hidden="false" customHeight="false" outlineLevel="0" collapsed="false">
      <c r="A8" s="2" t="s">
        <v>441</v>
      </c>
      <c r="B8" s="2" t="s">
        <v>90</v>
      </c>
      <c r="C8" s="2" t="s">
        <v>91</v>
      </c>
      <c r="D8" s="2" t="s">
        <v>67</v>
      </c>
      <c r="E8" s="2" t="s">
        <v>308</v>
      </c>
      <c r="F8" s="2" t="s">
        <v>256</v>
      </c>
      <c r="G8" s="2" t="s">
        <v>257</v>
      </c>
      <c r="H8" s="2" t="s">
        <v>424</v>
      </c>
      <c r="I8" s="2" t="n">
        <v>1</v>
      </c>
      <c r="J8" s="2" t="n">
        <v>1</v>
      </c>
      <c r="K8" s="2" t="n">
        <v>2</v>
      </c>
      <c r="L8" s="2" t="n">
        <f aca="false">K8-J8</f>
        <v>1</v>
      </c>
      <c r="M8" s="2" t="s">
        <v>418</v>
      </c>
      <c r="N8" s="2" t="s">
        <v>442</v>
      </c>
      <c r="O8" s="2" t="s">
        <v>432</v>
      </c>
      <c r="P8" s="2" t="n">
        <v>0</v>
      </c>
      <c r="Q8" s="2"/>
      <c r="R8" s="2" t="s">
        <v>420</v>
      </c>
    </row>
    <row r="9" customFormat="false" ht="15" hidden="false" customHeight="false" outlineLevel="0" collapsed="false">
      <c r="A9" s="2" t="s">
        <v>443</v>
      </c>
      <c r="B9" s="2" t="s">
        <v>90</v>
      </c>
      <c r="C9" s="2" t="s">
        <v>91</v>
      </c>
      <c r="D9" s="2" t="s">
        <v>67</v>
      </c>
      <c r="E9" s="2" t="s">
        <v>308</v>
      </c>
      <c r="F9" s="2" t="s">
        <v>444</v>
      </c>
      <c r="G9" s="2" t="s">
        <v>445</v>
      </c>
      <c r="H9" s="2" t="s">
        <v>417</v>
      </c>
      <c r="I9" s="2" t="n">
        <v>1</v>
      </c>
      <c r="J9" s="2" t="n">
        <v>1</v>
      </c>
      <c r="K9" s="2" t="n">
        <v>2</v>
      </c>
      <c r="L9" s="2" t="n">
        <f aca="false">K9-J9</f>
        <v>1</v>
      </c>
      <c r="M9" s="2" t="s">
        <v>418</v>
      </c>
      <c r="N9" s="2" t="s">
        <v>446</v>
      </c>
      <c r="O9" s="2" t="s">
        <v>255</v>
      </c>
      <c r="P9" s="2" t="n">
        <v>0</v>
      </c>
      <c r="Q9" s="2"/>
      <c r="R9" s="2" t="s">
        <v>420</v>
      </c>
    </row>
    <row r="10" customFormat="false" ht="15" hidden="false" customHeight="false" outlineLevel="0" collapsed="false">
      <c r="A10" s="2" t="s">
        <v>447</v>
      </c>
      <c r="B10" s="2" t="s">
        <v>94</v>
      </c>
      <c r="C10" s="2" t="s">
        <v>95</v>
      </c>
      <c r="D10" s="2" t="s">
        <v>96</v>
      </c>
      <c r="E10" s="2" t="s">
        <v>314</v>
      </c>
      <c r="F10" s="2" t="s">
        <v>448</v>
      </c>
      <c r="G10" s="2" t="s">
        <v>449</v>
      </c>
      <c r="H10" s="2" t="s">
        <v>417</v>
      </c>
      <c r="I10" s="2" t="n">
        <v>2</v>
      </c>
      <c r="J10" s="2" t="n">
        <v>2</v>
      </c>
      <c r="K10" s="2" t="n">
        <v>4</v>
      </c>
      <c r="L10" s="2" t="n">
        <f aca="false">K10-J10</f>
        <v>2</v>
      </c>
      <c r="M10" s="2" t="s">
        <v>450</v>
      </c>
      <c r="N10" s="2"/>
      <c r="O10" s="2" t="s">
        <v>451</v>
      </c>
      <c r="P10" s="2" t="n">
        <v>1</v>
      </c>
      <c r="Q10" s="2" t="n">
        <v>5</v>
      </c>
      <c r="R10" s="2" t="s">
        <v>420</v>
      </c>
    </row>
    <row r="11" customFormat="false" ht="15" hidden="false" customHeight="false" outlineLevel="0" collapsed="false">
      <c r="A11" s="2" t="s">
        <v>452</v>
      </c>
      <c r="B11" s="2" t="s">
        <v>97</v>
      </c>
      <c r="C11" s="2" t="s">
        <v>98</v>
      </c>
      <c r="D11" s="2" t="s">
        <v>96</v>
      </c>
      <c r="E11" s="2" t="s">
        <v>328</v>
      </c>
      <c r="F11" s="2" t="s">
        <v>448</v>
      </c>
      <c r="G11" s="2" t="s">
        <v>449</v>
      </c>
      <c r="H11" s="2" t="s">
        <v>417</v>
      </c>
      <c r="I11" s="2" t="n">
        <v>2</v>
      </c>
      <c r="J11" s="2" t="n">
        <v>2</v>
      </c>
      <c r="K11" s="2" t="n">
        <v>4</v>
      </c>
      <c r="L11" s="2" t="n">
        <f aca="false">K11-J11</f>
        <v>2</v>
      </c>
      <c r="M11" s="2" t="s">
        <v>450</v>
      </c>
      <c r="N11" s="2"/>
      <c r="O11" s="2" t="s">
        <v>451</v>
      </c>
      <c r="P11" s="2" t="n">
        <v>1</v>
      </c>
      <c r="Q11" s="2"/>
      <c r="R11" s="2" t="s">
        <v>420</v>
      </c>
    </row>
    <row r="12" customFormat="false" ht="15" hidden="false" customHeight="false" outlineLevel="0" collapsed="false">
      <c r="A12" s="2" t="s">
        <v>453</v>
      </c>
      <c r="B12" s="2" t="s">
        <v>97</v>
      </c>
      <c r="C12" s="2" t="s">
        <v>98</v>
      </c>
      <c r="D12" s="2" t="s">
        <v>96</v>
      </c>
      <c r="E12" s="2" t="s">
        <v>328</v>
      </c>
      <c r="F12" s="2" t="s">
        <v>454</v>
      </c>
      <c r="G12" s="2" t="s">
        <v>455</v>
      </c>
      <c r="H12" s="2" t="s">
        <v>456</v>
      </c>
      <c r="I12" s="2" t="n">
        <v>0</v>
      </c>
      <c r="J12" s="2" t="n">
        <v>1</v>
      </c>
      <c r="K12" s="2" t="n">
        <v>3</v>
      </c>
      <c r="L12" s="2" t="n">
        <f aca="false">K12-J12</f>
        <v>2</v>
      </c>
      <c r="M12" s="2" t="s">
        <v>450</v>
      </c>
      <c r="N12" s="2"/>
      <c r="O12" s="2" t="s">
        <v>457</v>
      </c>
      <c r="P12" s="2" t="n">
        <v>1</v>
      </c>
      <c r="Q12" s="2" t="n">
        <v>4</v>
      </c>
      <c r="R12" s="2" t="s">
        <v>458</v>
      </c>
    </row>
    <row r="13" customFormat="false" ht="15" hidden="false" customHeight="false" outlineLevel="0" collapsed="false">
      <c r="A13" s="2" t="s">
        <v>459</v>
      </c>
      <c r="B13" s="2" t="s">
        <v>99</v>
      </c>
      <c r="C13" s="2" t="s">
        <v>100</v>
      </c>
      <c r="D13" s="2" t="s">
        <v>96</v>
      </c>
      <c r="E13" s="2" t="s">
        <v>304</v>
      </c>
      <c r="F13" s="2" t="s">
        <v>448</v>
      </c>
      <c r="G13" s="2" t="s">
        <v>449</v>
      </c>
      <c r="H13" s="2" t="s">
        <v>417</v>
      </c>
      <c r="I13" s="2" t="n">
        <v>2</v>
      </c>
      <c r="J13" s="2" t="n">
        <v>2</v>
      </c>
      <c r="K13" s="2" t="n">
        <v>4</v>
      </c>
      <c r="L13" s="2" t="n">
        <f aca="false">K13-J13</f>
        <v>2</v>
      </c>
      <c r="M13" s="2" t="s">
        <v>450</v>
      </c>
      <c r="N13" s="2"/>
      <c r="O13" s="2" t="s">
        <v>451</v>
      </c>
      <c r="P13" s="2" t="n">
        <v>1</v>
      </c>
      <c r="Q13" s="2" t="n">
        <v>4</v>
      </c>
      <c r="R13" s="2" t="s">
        <v>420</v>
      </c>
    </row>
    <row r="14" customFormat="false" ht="15" hidden="false" customHeight="false" outlineLevel="0" collapsed="false">
      <c r="A14" s="2" t="s">
        <v>460</v>
      </c>
      <c r="B14" s="2" t="s">
        <v>101</v>
      </c>
      <c r="C14" s="2" t="s">
        <v>102</v>
      </c>
      <c r="D14" s="2" t="s">
        <v>96</v>
      </c>
      <c r="E14" s="2" t="s">
        <v>314</v>
      </c>
      <c r="F14" s="2" t="s">
        <v>248</v>
      </c>
      <c r="G14" s="2" t="s">
        <v>249</v>
      </c>
      <c r="H14" s="2" t="s">
        <v>461</v>
      </c>
      <c r="I14" s="2" t="n">
        <v>1</v>
      </c>
      <c r="J14" s="2" t="n">
        <v>1</v>
      </c>
      <c r="K14" s="2" t="n">
        <v>2</v>
      </c>
      <c r="L14" s="2" t="n">
        <f aca="false">K14-J14</f>
        <v>1</v>
      </c>
      <c r="M14" s="2" t="s">
        <v>418</v>
      </c>
      <c r="N14" s="2" t="s">
        <v>462</v>
      </c>
      <c r="O14" s="2" t="s">
        <v>247</v>
      </c>
      <c r="P14" s="2" t="n">
        <v>0</v>
      </c>
      <c r="Q14" s="2"/>
      <c r="R14" s="2" t="s">
        <v>420</v>
      </c>
    </row>
    <row r="15" customFormat="false" ht="15" hidden="false" customHeight="false" outlineLevel="0" collapsed="false">
      <c r="A15" s="2" t="s">
        <v>463</v>
      </c>
      <c r="B15" s="2" t="s">
        <v>101</v>
      </c>
      <c r="C15" s="2" t="s">
        <v>102</v>
      </c>
      <c r="D15" s="2" t="s">
        <v>96</v>
      </c>
      <c r="E15" s="2" t="s">
        <v>314</v>
      </c>
      <c r="F15" s="2" t="s">
        <v>464</v>
      </c>
      <c r="G15" s="2" t="s">
        <v>465</v>
      </c>
      <c r="H15" s="2" t="s">
        <v>466</v>
      </c>
      <c r="I15" s="2" t="n">
        <v>1</v>
      </c>
      <c r="J15" s="2" t="n">
        <v>1</v>
      </c>
      <c r="K15" s="2" t="n">
        <v>2</v>
      </c>
      <c r="L15" s="2" t="n">
        <f aca="false">K15-J15</f>
        <v>1</v>
      </c>
      <c r="M15" s="2" t="s">
        <v>418</v>
      </c>
      <c r="N15" s="2" t="s">
        <v>342</v>
      </c>
      <c r="O15" s="2" t="s">
        <v>247</v>
      </c>
      <c r="P15" s="2" t="n">
        <v>0</v>
      </c>
      <c r="Q15" s="2"/>
      <c r="R15" s="2" t="s">
        <v>420</v>
      </c>
    </row>
    <row r="16" customFormat="false" ht="15" hidden="false" customHeight="false" outlineLevel="0" collapsed="false">
      <c r="A16" s="2" t="s">
        <v>467</v>
      </c>
      <c r="B16" s="2" t="s">
        <v>105</v>
      </c>
      <c r="C16" s="2" t="s">
        <v>106</v>
      </c>
      <c r="D16" s="2" t="s">
        <v>96</v>
      </c>
      <c r="E16" s="2" t="s">
        <v>309</v>
      </c>
      <c r="F16" s="2" t="s">
        <v>444</v>
      </c>
      <c r="G16" s="2" t="s">
        <v>445</v>
      </c>
      <c r="H16" s="2" t="s">
        <v>417</v>
      </c>
      <c r="I16" s="2" t="n">
        <v>1</v>
      </c>
      <c r="J16" s="2" t="n">
        <v>1</v>
      </c>
      <c r="K16" s="2" t="n">
        <v>2</v>
      </c>
      <c r="L16" s="2" t="n">
        <f aca="false">K16-J16</f>
        <v>1</v>
      </c>
      <c r="M16" s="2" t="s">
        <v>418</v>
      </c>
      <c r="N16" s="2" t="s">
        <v>349</v>
      </c>
      <c r="O16" s="2" t="s">
        <v>247</v>
      </c>
      <c r="P16" s="2" t="n">
        <v>0</v>
      </c>
      <c r="Q16" s="2"/>
      <c r="R16" s="2" t="s">
        <v>420</v>
      </c>
    </row>
    <row r="17" customFormat="false" ht="15" hidden="false" customHeight="false" outlineLevel="0" collapsed="false">
      <c r="A17" s="2" t="s">
        <v>468</v>
      </c>
      <c r="B17" s="2" t="s">
        <v>117</v>
      </c>
      <c r="C17" s="2" t="s">
        <v>118</v>
      </c>
      <c r="D17" s="2" t="s">
        <v>119</v>
      </c>
      <c r="E17" s="2" t="s">
        <v>319</v>
      </c>
      <c r="F17" s="2" t="s">
        <v>454</v>
      </c>
      <c r="G17" s="2" t="s">
        <v>455</v>
      </c>
      <c r="H17" s="2" t="s">
        <v>456</v>
      </c>
      <c r="I17" s="2" t="n">
        <v>0</v>
      </c>
      <c r="J17" s="2" t="n">
        <v>1</v>
      </c>
      <c r="K17" s="2" t="n">
        <v>3</v>
      </c>
      <c r="L17" s="2" t="n">
        <f aca="false">K17-J17</f>
        <v>2</v>
      </c>
      <c r="M17" s="2" t="s">
        <v>450</v>
      </c>
      <c r="N17" s="2"/>
      <c r="O17" s="2" t="s">
        <v>457</v>
      </c>
      <c r="P17" s="2" t="n">
        <v>1</v>
      </c>
      <c r="Q17" s="2" t="n">
        <v>4</v>
      </c>
      <c r="R17" s="2" t="s">
        <v>420</v>
      </c>
    </row>
    <row r="18" customFormat="false" ht="15" hidden="false" customHeight="false" outlineLevel="0" collapsed="false">
      <c r="A18" s="2" t="s">
        <v>469</v>
      </c>
      <c r="B18" s="2" t="s">
        <v>124</v>
      </c>
      <c r="C18" s="2" t="s">
        <v>125</v>
      </c>
      <c r="D18" s="2" t="s">
        <v>119</v>
      </c>
      <c r="E18" s="2" t="s">
        <v>320</v>
      </c>
      <c r="F18" s="2" t="s">
        <v>470</v>
      </c>
      <c r="G18" s="2" t="s">
        <v>471</v>
      </c>
      <c r="H18" s="2" t="s">
        <v>472</v>
      </c>
      <c r="I18" s="2" t="n">
        <v>1</v>
      </c>
      <c r="J18" s="2" t="n">
        <v>1</v>
      </c>
      <c r="K18" s="2" t="n">
        <v>2</v>
      </c>
      <c r="L18" s="2" t="n">
        <f aca="false">K18-J18</f>
        <v>1</v>
      </c>
      <c r="M18" s="2" t="s">
        <v>418</v>
      </c>
      <c r="N18" s="2" t="s">
        <v>473</v>
      </c>
      <c r="O18" s="2" t="s">
        <v>286</v>
      </c>
      <c r="P18" s="2" t="n">
        <v>0</v>
      </c>
      <c r="Q18" s="2"/>
      <c r="R18" s="2" t="s">
        <v>420</v>
      </c>
    </row>
    <row r="19" customFormat="false" ht="15" hidden="false" customHeight="false" outlineLevel="0" collapsed="false">
      <c r="A19" s="2" t="s">
        <v>474</v>
      </c>
      <c r="B19" s="2" t="s">
        <v>124</v>
      </c>
      <c r="C19" s="2" t="s">
        <v>125</v>
      </c>
      <c r="D19" s="2" t="s">
        <v>119</v>
      </c>
      <c r="E19" s="2" t="s">
        <v>320</v>
      </c>
      <c r="F19" s="2" t="s">
        <v>475</v>
      </c>
      <c r="G19" s="2" t="s">
        <v>476</v>
      </c>
      <c r="H19" s="2" t="s">
        <v>456</v>
      </c>
      <c r="I19" s="2" t="n">
        <v>1</v>
      </c>
      <c r="J19" s="2" t="n">
        <v>1</v>
      </c>
      <c r="K19" s="2" t="n">
        <v>2</v>
      </c>
      <c r="L19" s="2" t="n">
        <f aca="false">K19-J19</f>
        <v>1</v>
      </c>
      <c r="M19" s="2" t="s">
        <v>418</v>
      </c>
      <c r="N19" s="2" t="s">
        <v>477</v>
      </c>
      <c r="O19" s="2" t="s">
        <v>224</v>
      </c>
      <c r="P19" s="2" t="n">
        <v>0</v>
      </c>
      <c r="Q19" s="2"/>
      <c r="R19" s="2" t="s">
        <v>420</v>
      </c>
    </row>
    <row r="20" customFormat="false" ht="15" hidden="false" customHeight="false" outlineLevel="0" collapsed="false">
      <c r="A20" s="2" t="s">
        <v>478</v>
      </c>
      <c r="B20" s="2" t="s">
        <v>128</v>
      </c>
      <c r="C20" s="2" t="s">
        <v>129</v>
      </c>
      <c r="D20" s="2" t="s">
        <v>119</v>
      </c>
      <c r="E20" s="2" t="s">
        <v>327</v>
      </c>
      <c r="F20" s="2" t="s">
        <v>479</v>
      </c>
      <c r="G20" s="2" t="s">
        <v>480</v>
      </c>
      <c r="H20" s="2" t="s">
        <v>472</v>
      </c>
      <c r="I20" s="2" t="n">
        <v>0</v>
      </c>
      <c r="J20" s="2" t="n">
        <v>1</v>
      </c>
      <c r="K20" s="2" t="n">
        <v>3</v>
      </c>
      <c r="L20" s="2" t="n">
        <f aca="false">K20-J20</f>
        <v>2</v>
      </c>
      <c r="M20" s="2" t="s">
        <v>450</v>
      </c>
      <c r="N20" s="2"/>
      <c r="O20" s="2" t="s">
        <v>481</v>
      </c>
      <c r="P20" s="2" t="n">
        <v>1</v>
      </c>
      <c r="Q20" s="2"/>
      <c r="R20" s="2" t="s">
        <v>420</v>
      </c>
    </row>
    <row r="21" customFormat="false" ht="15" hidden="false" customHeight="false" outlineLevel="0" collapsed="false">
      <c r="A21" s="2" t="s">
        <v>482</v>
      </c>
      <c r="B21" s="2" t="s">
        <v>134</v>
      </c>
      <c r="C21" s="2" t="s">
        <v>135</v>
      </c>
      <c r="D21" s="2" t="s">
        <v>119</v>
      </c>
      <c r="E21" s="2" t="s">
        <v>310</v>
      </c>
      <c r="F21" s="2" t="s">
        <v>248</v>
      </c>
      <c r="G21" s="2" t="s">
        <v>249</v>
      </c>
      <c r="H21" s="2" t="s">
        <v>461</v>
      </c>
      <c r="I21" s="2" t="n">
        <v>1</v>
      </c>
      <c r="J21" s="2" t="n">
        <v>1</v>
      </c>
      <c r="K21" s="2" t="n">
        <v>2</v>
      </c>
      <c r="L21" s="2" t="n">
        <f aca="false">K21-J21</f>
        <v>1</v>
      </c>
      <c r="M21" s="2" t="s">
        <v>418</v>
      </c>
      <c r="N21" s="2" t="s">
        <v>483</v>
      </c>
      <c r="O21" s="2" t="s">
        <v>247</v>
      </c>
      <c r="P21" s="2" t="n">
        <v>0</v>
      </c>
      <c r="Q21" s="2"/>
      <c r="R21" s="2" t="s">
        <v>420</v>
      </c>
    </row>
    <row r="22" customFormat="false" ht="15" hidden="false" customHeight="false" outlineLevel="0" collapsed="false">
      <c r="A22" s="2" t="s">
        <v>484</v>
      </c>
      <c r="B22" s="2" t="s">
        <v>134</v>
      </c>
      <c r="C22" s="2" t="s">
        <v>135</v>
      </c>
      <c r="D22" s="2" t="s">
        <v>119</v>
      </c>
      <c r="E22" s="2" t="s">
        <v>310</v>
      </c>
      <c r="F22" s="2" t="s">
        <v>256</v>
      </c>
      <c r="G22" s="2" t="s">
        <v>257</v>
      </c>
      <c r="H22" s="2" t="s">
        <v>424</v>
      </c>
      <c r="I22" s="2" t="n">
        <v>1</v>
      </c>
      <c r="J22" s="2" t="n">
        <v>1</v>
      </c>
      <c r="K22" s="2" t="n">
        <v>2</v>
      </c>
      <c r="L22" s="2" t="n">
        <f aca="false">K22-J22</f>
        <v>1</v>
      </c>
      <c r="M22" s="2" t="s">
        <v>418</v>
      </c>
      <c r="N22" s="2" t="s">
        <v>485</v>
      </c>
      <c r="O22" s="2" t="s">
        <v>224</v>
      </c>
      <c r="P22" s="2" t="n">
        <v>0</v>
      </c>
      <c r="Q22" s="2"/>
      <c r="R22" s="2" t="s">
        <v>420</v>
      </c>
    </row>
    <row r="23" customFormat="false" ht="15" hidden="false" customHeight="false" outlineLevel="0" collapsed="false">
      <c r="A23" s="2" t="s">
        <v>486</v>
      </c>
      <c r="B23" s="2" t="s">
        <v>136</v>
      </c>
      <c r="C23" s="2" t="s">
        <v>137</v>
      </c>
      <c r="D23" s="2" t="s">
        <v>119</v>
      </c>
      <c r="E23" s="2" t="s">
        <v>319</v>
      </c>
      <c r="F23" s="2" t="s">
        <v>479</v>
      </c>
      <c r="G23" s="2" t="s">
        <v>480</v>
      </c>
      <c r="H23" s="2" t="s">
        <v>472</v>
      </c>
      <c r="I23" s="2" t="n">
        <v>0</v>
      </c>
      <c r="J23" s="2" t="n">
        <v>1</v>
      </c>
      <c r="K23" s="2" t="n">
        <v>3</v>
      </c>
      <c r="L23" s="2" t="n">
        <f aca="false">K23-J23</f>
        <v>2</v>
      </c>
      <c r="M23" s="2" t="s">
        <v>450</v>
      </c>
      <c r="N23" s="2"/>
      <c r="O23" s="2" t="s">
        <v>481</v>
      </c>
      <c r="P23" s="2" t="n">
        <v>1</v>
      </c>
      <c r="Q23" s="2" t="n">
        <v>5</v>
      </c>
      <c r="R23" s="2" t="s">
        <v>458</v>
      </c>
    </row>
    <row r="24" customFormat="false" ht="15" hidden="false" customHeight="false" outlineLevel="0" collapsed="false">
      <c r="A24" s="2" t="s">
        <v>487</v>
      </c>
      <c r="B24" s="2" t="s">
        <v>147</v>
      </c>
      <c r="C24" s="2" t="s">
        <v>148</v>
      </c>
      <c r="D24" s="2" t="s">
        <v>146</v>
      </c>
      <c r="E24" s="2" t="s">
        <v>311</v>
      </c>
      <c r="F24" s="2" t="s">
        <v>488</v>
      </c>
      <c r="G24" s="2" t="s">
        <v>489</v>
      </c>
      <c r="H24" s="2" t="s">
        <v>490</v>
      </c>
      <c r="I24" s="2" t="n">
        <v>3</v>
      </c>
      <c r="J24" s="2" t="n">
        <v>3</v>
      </c>
      <c r="K24" s="2" t="n">
        <v>4</v>
      </c>
      <c r="L24" s="2" t="n">
        <f aca="false">K24-J24</f>
        <v>1</v>
      </c>
      <c r="M24" s="2" t="s">
        <v>450</v>
      </c>
      <c r="N24" s="2"/>
      <c r="O24" s="2" t="s">
        <v>481</v>
      </c>
      <c r="P24" s="2" t="n">
        <v>1</v>
      </c>
      <c r="Q24" s="2"/>
      <c r="R24" s="2" t="s">
        <v>420</v>
      </c>
    </row>
    <row r="25" customFormat="false" ht="15" hidden="false" customHeight="false" outlineLevel="0" collapsed="false">
      <c r="A25" s="2" t="s">
        <v>491</v>
      </c>
      <c r="B25" s="2" t="s">
        <v>153</v>
      </c>
      <c r="C25" s="2" t="s">
        <v>154</v>
      </c>
      <c r="D25" s="2" t="s">
        <v>146</v>
      </c>
      <c r="E25" s="2" t="s">
        <v>317</v>
      </c>
      <c r="F25" s="2" t="s">
        <v>492</v>
      </c>
      <c r="G25" s="2" t="s">
        <v>493</v>
      </c>
      <c r="H25" s="2" t="s">
        <v>490</v>
      </c>
      <c r="I25" s="2" t="n">
        <v>1</v>
      </c>
      <c r="J25" s="2" t="n">
        <v>1</v>
      </c>
      <c r="K25" s="2" t="n">
        <v>2</v>
      </c>
      <c r="L25" s="2" t="n">
        <f aca="false">K25-J25</f>
        <v>1</v>
      </c>
      <c r="M25" s="2" t="s">
        <v>418</v>
      </c>
      <c r="N25" s="2" t="s">
        <v>387</v>
      </c>
      <c r="O25" s="2" t="s">
        <v>224</v>
      </c>
      <c r="P25" s="2" t="n">
        <v>0</v>
      </c>
      <c r="Q25" s="2"/>
      <c r="R25" s="2" t="s">
        <v>420</v>
      </c>
    </row>
    <row r="26" customFormat="false" ht="15" hidden="false" customHeight="false" outlineLevel="0" collapsed="false">
      <c r="A26" s="2" t="s">
        <v>494</v>
      </c>
      <c r="B26" s="2" t="s">
        <v>159</v>
      </c>
      <c r="C26" s="2" t="s">
        <v>160</v>
      </c>
      <c r="D26" s="2" t="s">
        <v>146</v>
      </c>
      <c r="E26" s="2" t="s">
        <v>317</v>
      </c>
      <c r="F26" s="2" t="s">
        <v>488</v>
      </c>
      <c r="G26" s="2" t="s">
        <v>489</v>
      </c>
      <c r="H26" s="2" t="s">
        <v>490</v>
      </c>
      <c r="I26" s="2" t="n">
        <v>1</v>
      </c>
      <c r="J26" s="2" t="n">
        <v>1</v>
      </c>
      <c r="K26" s="2" t="n">
        <v>2</v>
      </c>
      <c r="L26" s="2" t="n">
        <f aca="false">K26-J26</f>
        <v>1</v>
      </c>
      <c r="M26" s="2" t="s">
        <v>418</v>
      </c>
      <c r="N26" s="2" t="s">
        <v>495</v>
      </c>
      <c r="O26" s="2" t="s">
        <v>224</v>
      </c>
      <c r="P26" s="2" t="n">
        <v>0</v>
      </c>
      <c r="Q26" s="2"/>
      <c r="R26" s="2" t="s">
        <v>420</v>
      </c>
    </row>
    <row r="27" customFormat="false" ht="15" hidden="false" customHeight="false" outlineLevel="0" collapsed="false">
      <c r="A27" s="2" t="s">
        <v>496</v>
      </c>
      <c r="B27" s="2" t="s">
        <v>161</v>
      </c>
      <c r="C27" s="2" t="s">
        <v>162</v>
      </c>
      <c r="D27" s="2" t="s">
        <v>146</v>
      </c>
      <c r="E27" s="2" t="s">
        <v>316</v>
      </c>
      <c r="F27" s="2" t="s">
        <v>488</v>
      </c>
      <c r="G27" s="2" t="s">
        <v>489</v>
      </c>
      <c r="H27" s="2" t="s">
        <v>490</v>
      </c>
      <c r="I27" s="2" t="n">
        <v>3</v>
      </c>
      <c r="J27" s="2" t="n">
        <v>3</v>
      </c>
      <c r="K27" s="2" t="n">
        <v>4</v>
      </c>
      <c r="L27" s="2" t="n">
        <f aca="false">K27-J27</f>
        <v>1</v>
      </c>
      <c r="M27" s="2" t="s">
        <v>450</v>
      </c>
      <c r="N27" s="2"/>
      <c r="O27" s="2" t="s">
        <v>481</v>
      </c>
      <c r="P27" s="2" t="n">
        <v>1</v>
      </c>
      <c r="Q27" s="2"/>
      <c r="R27" s="2" t="s">
        <v>420</v>
      </c>
    </row>
    <row r="28" customFormat="false" ht="15" hidden="false" customHeight="false" outlineLevel="0" collapsed="false">
      <c r="A28" s="2" t="s">
        <v>497</v>
      </c>
      <c r="B28" s="2" t="s">
        <v>176</v>
      </c>
      <c r="C28" s="2" t="s">
        <v>177</v>
      </c>
      <c r="D28" s="2" t="s">
        <v>169</v>
      </c>
      <c r="E28" s="2" t="s">
        <v>323</v>
      </c>
      <c r="F28" s="2" t="s">
        <v>256</v>
      </c>
      <c r="G28" s="2" t="s">
        <v>257</v>
      </c>
      <c r="H28" s="2" t="s">
        <v>424</v>
      </c>
      <c r="I28" s="2" t="n">
        <v>1</v>
      </c>
      <c r="J28" s="2" t="n">
        <v>1</v>
      </c>
      <c r="K28" s="2" t="n">
        <v>2</v>
      </c>
      <c r="L28" s="2" t="n">
        <f aca="false">K28-J28</f>
        <v>1</v>
      </c>
      <c r="M28" s="2" t="s">
        <v>418</v>
      </c>
      <c r="N28" s="2" t="s">
        <v>498</v>
      </c>
      <c r="O28" s="2" t="s">
        <v>499</v>
      </c>
      <c r="P28" s="2" t="n">
        <v>1</v>
      </c>
      <c r="Q28" s="2"/>
      <c r="R28" s="2" t="s">
        <v>420</v>
      </c>
    </row>
    <row r="29" customFormat="false" ht="15" hidden="false" customHeight="false" outlineLevel="0" collapsed="false">
      <c r="A29" s="2" t="s">
        <v>500</v>
      </c>
      <c r="B29" s="2" t="s">
        <v>178</v>
      </c>
      <c r="C29" s="2" t="s">
        <v>179</v>
      </c>
      <c r="D29" s="2" t="s">
        <v>169</v>
      </c>
      <c r="E29" s="2" t="s">
        <v>329</v>
      </c>
      <c r="F29" s="2" t="s">
        <v>488</v>
      </c>
      <c r="G29" s="2" t="s">
        <v>489</v>
      </c>
      <c r="H29" s="2" t="s">
        <v>490</v>
      </c>
      <c r="I29" s="2" t="n">
        <v>3</v>
      </c>
      <c r="J29" s="2" t="n">
        <v>3</v>
      </c>
      <c r="K29" s="2" t="n">
        <v>4</v>
      </c>
      <c r="L29" s="2" t="n">
        <f aca="false">K29-J29</f>
        <v>1</v>
      </c>
      <c r="M29" s="2" t="s">
        <v>450</v>
      </c>
      <c r="N29" s="2"/>
      <c r="O29" s="2" t="s">
        <v>481</v>
      </c>
      <c r="P29" s="2" t="n">
        <v>1</v>
      </c>
      <c r="Q29" s="2"/>
      <c r="R29" s="2" t="s">
        <v>420</v>
      </c>
    </row>
    <row r="30" customFormat="false" ht="15" hidden="false" customHeight="false" outlineLevel="0" collapsed="false">
      <c r="A30" s="2" t="s">
        <v>501</v>
      </c>
      <c r="B30" s="2" t="s">
        <v>180</v>
      </c>
      <c r="C30" s="2" t="s">
        <v>181</v>
      </c>
      <c r="D30" s="2" t="s">
        <v>169</v>
      </c>
      <c r="E30" s="2" t="s">
        <v>324</v>
      </c>
      <c r="F30" s="2" t="s">
        <v>502</v>
      </c>
      <c r="G30" s="2" t="s">
        <v>503</v>
      </c>
      <c r="H30" s="2" t="s">
        <v>504</v>
      </c>
      <c r="I30" s="2" t="n">
        <v>1</v>
      </c>
      <c r="J30" s="2" t="n">
        <v>1</v>
      </c>
      <c r="K30" s="2" t="n">
        <v>2</v>
      </c>
      <c r="L30" s="2" t="n">
        <f aca="false">K30-J30</f>
        <v>1</v>
      </c>
      <c r="M30" s="2" t="s">
        <v>418</v>
      </c>
      <c r="N30" s="2" t="s">
        <v>505</v>
      </c>
      <c r="O30" s="2" t="s">
        <v>432</v>
      </c>
      <c r="P30" s="2" t="n">
        <v>0</v>
      </c>
      <c r="Q30" s="2"/>
      <c r="R30" s="2" t="s">
        <v>420</v>
      </c>
    </row>
    <row r="31" customFormat="false" ht="15" hidden="false" customHeight="false" outlineLevel="0" collapsed="false">
      <c r="A31" s="2" t="s">
        <v>506</v>
      </c>
      <c r="B31" s="2" t="s">
        <v>184</v>
      </c>
      <c r="C31" s="2" t="s">
        <v>185</v>
      </c>
      <c r="D31" s="2" t="s">
        <v>169</v>
      </c>
      <c r="E31" s="2" t="s">
        <v>313</v>
      </c>
      <c r="F31" s="2" t="s">
        <v>507</v>
      </c>
      <c r="G31" s="2" t="s">
        <v>508</v>
      </c>
      <c r="H31" s="2" t="s">
        <v>509</v>
      </c>
      <c r="I31" s="2" t="n">
        <v>0</v>
      </c>
      <c r="J31" s="2" t="n">
        <v>1</v>
      </c>
      <c r="K31" s="2" t="n">
        <v>2</v>
      </c>
      <c r="L31" s="2" t="n">
        <f aca="false">K31-J31</f>
        <v>1</v>
      </c>
      <c r="M31" s="2" t="s">
        <v>450</v>
      </c>
      <c r="N31" s="2"/>
      <c r="O31" s="2" t="s">
        <v>510</v>
      </c>
      <c r="P31" s="2" t="n">
        <v>0</v>
      </c>
      <c r="Q31" s="2" t="n">
        <v>5</v>
      </c>
      <c r="R31" s="2" t="s">
        <v>458</v>
      </c>
    </row>
    <row r="32" customFormat="false" ht="15" hidden="false" customHeight="false" outlineLevel="0" collapsed="false">
      <c r="A32" s="2" t="s">
        <v>511</v>
      </c>
      <c r="B32" s="2" t="s">
        <v>186</v>
      </c>
      <c r="C32" s="2" t="s">
        <v>187</v>
      </c>
      <c r="D32" s="2" t="s">
        <v>169</v>
      </c>
      <c r="E32" s="2" t="s">
        <v>318</v>
      </c>
      <c r="F32" s="2" t="s">
        <v>488</v>
      </c>
      <c r="G32" s="2" t="s">
        <v>489</v>
      </c>
      <c r="H32" s="2" t="s">
        <v>490</v>
      </c>
      <c r="I32" s="2" t="n">
        <v>1</v>
      </c>
      <c r="J32" s="2" t="n">
        <v>1</v>
      </c>
      <c r="K32" s="2" t="n">
        <v>2</v>
      </c>
      <c r="L32" s="2" t="n">
        <f aca="false">K32-J32</f>
        <v>1</v>
      </c>
      <c r="M32" s="2" t="s">
        <v>418</v>
      </c>
      <c r="N32" s="2" t="s">
        <v>512</v>
      </c>
      <c r="O32" s="2" t="s">
        <v>255</v>
      </c>
      <c r="P32" s="2" t="n">
        <v>0</v>
      </c>
      <c r="Q32" s="2"/>
      <c r="R32" s="2" t="s">
        <v>420</v>
      </c>
    </row>
    <row r="33" customFormat="false" ht="15" hidden="false" customHeight="false" outlineLevel="0" collapsed="false">
      <c r="A33" s="2" t="s">
        <v>513</v>
      </c>
      <c r="B33" s="2" t="s">
        <v>188</v>
      </c>
      <c r="C33" s="2" t="s">
        <v>189</v>
      </c>
      <c r="D33" s="2" t="s">
        <v>169</v>
      </c>
      <c r="E33" s="2" t="s">
        <v>326</v>
      </c>
      <c r="F33" s="2" t="s">
        <v>248</v>
      </c>
      <c r="G33" s="2" t="s">
        <v>249</v>
      </c>
      <c r="H33" s="2" t="s">
        <v>461</v>
      </c>
      <c r="I33" s="2" t="n">
        <v>1</v>
      </c>
      <c r="J33" s="2" t="n">
        <v>1</v>
      </c>
      <c r="K33" s="2" t="n">
        <v>2</v>
      </c>
      <c r="L33" s="2" t="n">
        <f aca="false">K33-J33</f>
        <v>1</v>
      </c>
      <c r="M33" s="2" t="s">
        <v>418</v>
      </c>
      <c r="N33" s="2" t="s">
        <v>514</v>
      </c>
      <c r="O33" s="2" t="s">
        <v>247</v>
      </c>
      <c r="P33" s="2" t="n">
        <v>0</v>
      </c>
      <c r="Q33" s="2"/>
      <c r="R33" s="2" t="s">
        <v>420</v>
      </c>
    </row>
    <row r="34" customFormat="false" ht="15" hidden="false" customHeight="false" outlineLevel="0" collapsed="false">
      <c r="A34" s="2" t="s">
        <v>515</v>
      </c>
      <c r="B34" s="2" t="s">
        <v>188</v>
      </c>
      <c r="C34" s="2" t="s">
        <v>189</v>
      </c>
      <c r="D34" s="2" t="s">
        <v>169</v>
      </c>
      <c r="E34" s="2" t="s">
        <v>326</v>
      </c>
      <c r="F34" s="2" t="s">
        <v>264</v>
      </c>
      <c r="G34" s="2" t="s">
        <v>265</v>
      </c>
      <c r="H34" s="2" t="s">
        <v>67</v>
      </c>
      <c r="I34" s="2" t="n">
        <v>1</v>
      </c>
      <c r="J34" s="2" t="n">
        <v>1</v>
      </c>
      <c r="K34" s="2" t="n">
        <v>2</v>
      </c>
      <c r="L34" s="2" t="n">
        <f aca="false">K34-J34</f>
        <v>1</v>
      </c>
      <c r="M34" s="2" t="s">
        <v>418</v>
      </c>
      <c r="N34" s="2" t="s">
        <v>516</v>
      </c>
      <c r="O34" s="2" t="s">
        <v>262</v>
      </c>
      <c r="P34" s="2" t="n">
        <v>1</v>
      </c>
      <c r="Q34" s="2"/>
      <c r="R34" s="2" t="s">
        <v>420</v>
      </c>
    </row>
  </sheetData>
  <autoFilter ref="A1:R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3"/>
    <col collapsed="false" customWidth="true" hidden="false" outlineLevel="0" max="12" min="12" style="0" width="48"/>
    <col collapsed="false" customWidth="true" hidden="false" outlineLevel="0" max="13" min="13" style="0" width="19"/>
    <col collapsed="false" customWidth="true" hidden="false" outlineLevel="0" max="14" min="14" style="0" width="13"/>
    <col collapsed="false" customWidth="true" hidden="false" outlineLevel="0" max="16" min="15" style="0" width="21"/>
    <col collapsed="false" customWidth="true" hidden="false" outlineLevel="0" max="17" min="17" style="0" width="15"/>
    <col collapsed="false" customWidth="true" hidden="false" outlineLevel="0" max="18" min="18" style="0" width="20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2" min="21" style="0" width="48"/>
    <col collapsed="false" customWidth="true" hidden="false" outlineLevel="0" max="23" min="23" style="0" width="27"/>
    <col collapsed="false" customWidth="true" hidden="false" outlineLevel="0" max="24" min="24" style="0" width="14"/>
    <col collapsed="false" customWidth="true" hidden="false" outlineLevel="0" max="25" min="25" style="0" width="29"/>
    <col collapsed="false" customWidth="true" hidden="false" outlineLevel="0" max="26" min="26" style="0" width="48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29" min="29" style="0" width="18"/>
  </cols>
  <sheetData>
    <row r="1" customFormat="false" ht="23.85" hidden="false" customHeight="false" outlineLevel="0" collapsed="false">
      <c r="A1" s="4" t="s">
        <v>198</v>
      </c>
      <c r="B1" s="4" t="s">
        <v>403</v>
      </c>
      <c r="C1" s="4" t="s">
        <v>52</v>
      </c>
      <c r="D1" s="4" t="s">
        <v>53</v>
      </c>
      <c r="E1" s="4" t="s">
        <v>54</v>
      </c>
      <c r="F1" s="4" t="s">
        <v>404</v>
      </c>
      <c r="G1" s="4" t="s">
        <v>405</v>
      </c>
      <c r="H1" s="4" t="s">
        <v>517</v>
      </c>
      <c r="I1" s="4" t="s">
        <v>518</v>
      </c>
      <c r="J1" s="4" t="s">
        <v>410</v>
      </c>
      <c r="K1" s="4" t="s">
        <v>519</v>
      </c>
      <c r="L1" s="4" t="s">
        <v>520</v>
      </c>
      <c r="M1" s="4" t="s">
        <v>521</v>
      </c>
      <c r="N1" s="4" t="s">
        <v>522</v>
      </c>
      <c r="O1" s="4" t="s">
        <v>523</v>
      </c>
      <c r="P1" s="4" t="s">
        <v>524</v>
      </c>
      <c r="Q1" s="4" t="s">
        <v>525</v>
      </c>
      <c r="R1" s="4" t="s">
        <v>526</v>
      </c>
      <c r="S1" s="4" t="s">
        <v>527</v>
      </c>
      <c r="T1" s="4" t="s">
        <v>528</v>
      </c>
      <c r="U1" s="4" t="s">
        <v>529</v>
      </c>
      <c r="V1" s="4" t="s">
        <v>219</v>
      </c>
      <c r="W1" s="4" t="s">
        <v>530</v>
      </c>
      <c r="X1" s="4" t="s">
        <v>56</v>
      </c>
      <c r="Y1" s="4" t="s">
        <v>531</v>
      </c>
      <c r="Z1" s="4" t="s">
        <v>532</v>
      </c>
      <c r="AA1" s="4" t="s">
        <v>533</v>
      </c>
      <c r="AB1" s="4" t="s">
        <v>534</v>
      </c>
      <c r="AC1" s="4" t="s">
        <v>220</v>
      </c>
    </row>
    <row r="2" customFormat="false" ht="15" hidden="false" customHeight="false" outlineLevel="0" collapsed="false">
      <c r="A2" s="2" t="s">
        <v>535</v>
      </c>
      <c r="B2" s="2" t="s">
        <v>416</v>
      </c>
      <c r="C2" s="2" t="s">
        <v>74</v>
      </c>
      <c r="D2" s="2" t="s">
        <v>75</v>
      </c>
      <c r="E2" s="2" t="s">
        <v>67</v>
      </c>
      <c r="F2" s="2" t="s">
        <v>280</v>
      </c>
      <c r="G2" s="2" t="s">
        <v>281</v>
      </c>
      <c r="H2" s="2" t="n">
        <v>1</v>
      </c>
      <c r="I2" s="2" t="n">
        <v>2</v>
      </c>
      <c r="J2" s="2" t="n">
        <v>1</v>
      </c>
      <c r="K2" s="2" t="s">
        <v>536</v>
      </c>
      <c r="L2" s="2" t="s">
        <v>537</v>
      </c>
      <c r="M2" s="2" t="s">
        <v>538</v>
      </c>
      <c r="N2" s="2" t="s">
        <v>536</v>
      </c>
      <c r="O2" s="2" t="n">
        <v>3</v>
      </c>
      <c r="P2" s="2" t="n">
        <v>4</v>
      </c>
      <c r="Q2" s="2" t="n">
        <v>14000</v>
      </c>
      <c r="R2" s="2"/>
      <c r="S2" s="2"/>
      <c r="T2" s="2" t="n">
        <v>80</v>
      </c>
      <c r="U2" s="2" t="str">
        <f aca="false">IF(T2&gt;=70,"High",IF(T2&gt;=40,"Medium","Low"))</f>
        <v>High</v>
      </c>
      <c r="V2" s="2" t="s">
        <v>539</v>
      </c>
      <c r="W2" s="2" t="n">
        <v>27</v>
      </c>
      <c r="X2" s="2" t="n">
        <v>40</v>
      </c>
      <c r="Y2" s="2" t="n">
        <f aca="false">ROUND((W2+P2)/X2*100,0)</f>
        <v>78</v>
      </c>
      <c r="Z2" s="2" t="str">
        <f aca="false">IF(Y2&lt;=workload_config!$B$6,"Fits capacity","Exceeds capacity - defer")</f>
        <v>Fits capacity</v>
      </c>
      <c r="AA2" s="2" t="s">
        <v>46</v>
      </c>
      <c r="AB2" s="2" t="s">
        <v>540</v>
      </c>
      <c r="AC2" s="2" t="s">
        <v>541</v>
      </c>
    </row>
    <row r="3" customFormat="false" ht="15" hidden="false" customHeight="false" outlineLevel="0" collapsed="false">
      <c r="A3" s="2" t="s">
        <v>542</v>
      </c>
      <c r="B3" s="2" t="s">
        <v>421</v>
      </c>
      <c r="C3" s="2" t="s">
        <v>76</v>
      </c>
      <c r="D3" s="2" t="s">
        <v>77</v>
      </c>
      <c r="E3" s="2" t="s">
        <v>67</v>
      </c>
      <c r="F3" s="2" t="s">
        <v>422</v>
      </c>
      <c r="G3" s="2" t="s">
        <v>423</v>
      </c>
      <c r="H3" s="2" t="n">
        <v>1</v>
      </c>
      <c r="I3" s="2" t="n">
        <v>2</v>
      </c>
      <c r="J3" s="2" t="n">
        <v>1</v>
      </c>
      <c r="K3" s="2"/>
      <c r="L3" s="2" t="s">
        <v>543</v>
      </c>
      <c r="M3" s="2" t="s">
        <v>544</v>
      </c>
      <c r="N3" s="2"/>
      <c r="O3" s="2" t="n">
        <v>6</v>
      </c>
      <c r="P3" s="2" t="n">
        <v>2</v>
      </c>
      <c r="Q3" s="2" t="n">
        <v>0</v>
      </c>
      <c r="R3" s="2" t="s">
        <v>72</v>
      </c>
      <c r="S3" s="2" t="s">
        <v>73</v>
      </c>
      <c r="T3" s="2" t="n">
        <v>50</v>
      </c>
      <c r="U3" s="2" t="str">
        <f aca="false">IF(T3&gt;=70,"High",IF(T3&gt;=40,"Medium","Low"))</f>
        <v>Medium</v>
      </c>
      <c r="V3" s="2" t="s">
        <v>545</v>
      </c>
      <c r="W3" s="2" t="n">
        <v>34</v>
      </c>
      <c r="X3" s="2" t="n">
        <v>40</v>
      </c>
      <c r="Y3" s="2" t="n">
        <f aca="false">ROUND((W3+P3)/X3*100,0)</f>
        <v>90</v>
      </c>
      <c r="Z3" s="2" t="str">
        <f aca="false">IF(Y3&lt;=workload_config!$B$6,"Fits capacity","Exceeds capacity - defer")</f>
        <v>Fits capacity</v>
      </c>
      <c r="AA3" s="2" t="s">
        <v>546</v>
      </c>
      <c r="AB3" s="2" t="s">
        <v>547</v>
      </c>
      <c r="AC3" s="2" t="s">
        <v>541</v>
      </c>
    </row>
    <row r="4" customFormat="false" ht="15" hidden="false" customHeight="false" outlineLevel="0" collapsed="false">
      <c r="A4" s="2" t="s">
        <v>548</v>
      </c>
      <c r="B4" s="2" t="s">
        <v>426</v>
      </c>
      <c r="C4" s="2" t="s">
        <v>78</v>
      </c>
      <c r="D4" s="2" t="s">
        <v>79</v>
      </c>
      <c r="E4" s="2" t="s">
        <v>67</v>
      </c>
      <c r="F4" s="2" t="s">
        <v>427</v>
      </c>
      <c r="G4" s="2" t="s">
        <v>428</v>
      </c>
      <c r="H4" s="2" t="n">
        <v>1</v>
      </c>
      <c r="I4" s="2" t="n">
        <v>2</v>
      </c>
      <c r="J4" s="2" t="n">
        <v>1</v>
      </c>
      <c r="K4" s="2"/>
      <c r="L4" s="2" t="s">
        <v>543</v>
      </c>
      <c r="M4" s="2" t="s">
        <v>544</v>
      </c>
      <c r="N4" s="2"/>
      <c r="O4" s="2" t="n">
        <v>6</v>
      </c>
      <c r="P4" s="2" t="n">
        <v>2</v>
      </c>
      <c r="Q4" s="2" t="n">
        <v>0</v>
      </c>
      <c r="R4" s="2" t="s">
        <v>72</v>
      </c>
      <c r="S4" s="2" t="s">
        <v>73</v>
      </c>
      <c r="T4" s="2" t="n">
        <v>43</v>
      </c>
      <c r="U4" s="2" t="str">
        <f aca="false">IF(T4&gt;=70,"High",IF(T4&gt;=40,"Medium","Low"))</f>
        <v>Medium</v>
      </c>
      <c r="V4" s="2" t="s">
        <v>549</v>
      </c>
      <c r="W4" s="2" t="n">
        <v>33</v>
      </c>
      <c r="X4" s="2" t="n">
        <v>40</v>
      </c>
      <c r="Y4" s="2" t="n">
        <f aca="false">ROUND((W4+P4)/X4*100,0)</f>
        <v>88</v>
      </c>
      <c r="Z4" s="2" t="str">
        <f aca="false">IF(Y4&lt;=workload_config!$B$6,"Fits capacity","Exceeds capacity - defer")</f>
        <v>Fits capacity</v>
      </c>
      <c r="AA4" s="2" t="s">
        <v>546</v>
      </c>
      <c r="AB4" s="2" t="s">
        <v>547</v>
      </c>
      <c r="AC4" s="2" t="s">
        <v>541</v>
      </c>
    </row>
    <row r="5" customFormat="false" ht="15" hidden="false" customHeight="false" outlineLevel="0" collapsed="false">
      <c r="A5" s="2" t="s">
        <v>550</v>
      </c>
      <c r="B5" s="2" t="s">
        <v>430</v>
      </c>
      <c r="C5" s="2" t="s">
        <v>78</v>
      </c>
      <c r="D5" s="2" t="s">
        <v>79</v>
      </c>
      <c r="E5" s="2" t="s">
        <v>67</v>
      </c>
      <c r="F5" s="2" t="s">
        <v>422</v>
      </c>
      <c r="G5" s="2" t="s">
        <v>423</v>
      </c>
      <c r="H5" s="2" t="n">
        <v>1</v>
      </c>
      <c r="I5" s="2" t="n">
        <v>2</v>
      </c>
      <c r="J5" s="2" t="n">
        <v>1</v>
      </c>
      <c r="K5" s="2"/>
      <c r="L5" s="2" t="s">
        <v>543</v>
      </c>
      <c r="M5" s="2" t="s">
        <v>544</v>
      </c>
      <c r="N5" s="2"/>
      <c r="O5" s="2" t="n">
        <v>6</v>
      </c>
      <c r="P5" s="2" t="n">
        <v>2</v>
      </c>
      <c r="Q5" s="2" t="n">
        <v>0</v>
      </c>
      <c r="R5" s="2" t="s">
        <v>72</v>
      </c>
      <c r="S5" s="2" t="s">
        <v>73</v>
      </c>
      <c r="T5" s="2" t="n">
        <v>43</v>
      </c>
      <c r="U5" s="2" t="str">
        <f aca="false">IF(T5&gt;=70,"High",IF(T5&gt;=40,"Medium","Low"))</f>
        <v>Medium</v>
      </c>
      <c r="V5" s="2" t="s">
        <v>545</v>
      </c>
      <c r="W5" s="2" t="n">
        <v>33</v>
      </c>
      <c r="X5" s="2" t="n">
        <v>40</v>
      </c>
      <c r="Y5" s="2" t="n">
        <f aca="false">ROUND((W5+P5)/X5*100,0)</f>
        <v>88</v>
      </c>
      <c r="Z5" s="2" t="str">
        <f aca="false">IF(Y5&lt;=workload_config!$B$6,"Fits capacity","Exceeds capacity - defer")</f>
        <v>Fits capacity</v>
      </c>
      <c r="AA5" s="2" t="s">
        <v>546</v>
      </c>
      <c r="AB5" s="2" t="s">
        <v>547</v>
      </c>
      <c r="AC5" s="2" t="s">
        <v>541</v>
      </c>
    </row>
    <row r="6" customFormat="false" ht="15" hidden="false" customHeight="false" outlineLevel="0" collapsed="false">
      <c r="A6" s="2" t="s">
        <v>551</v>
      </c>
      <c r="B6" s="2" t="s">
        <v>433</v>
      </c>
      <c r="C6" s="2" t="s">
        <v>84</v>
      </c>
      <c r="D6" s="2" t="s">
        <v>85</v>
      </c>
      <c r="E6" s="2" t="s">
        <v>67</v>
      </c>
      <c r="F6" s="2" t="s">
        <v>434</v>
      </c>
      <c r="G6" s="2" t="s">
        <v>435</v>
      </c>
      <c r="H6" s="2" t="n">
        <v>1</v>
      </c>
      <c r="I6" s="2" t="n">
        <v>2</v>
      </c>
      <c r="J6" s="2" t="n">
        <v>1</v>
      </c>
      <c r="K6" s="2" t="s">
        <v>552</v>
      </c>
      <c r="L6" s="2" t="s">
        <v>553</v>
      </c>
      <c r="M6" s="2" t="s">
        <v>554</v>
      </c>
      <c r="N6" s="2" t="s">
        <v>552</v>
      </c>
      <c r="O6" s="2" t="n">
        <v>3</v>
      </c>
      <c r="P6" s="2" t="n">
        <v>4</v>
      </c>
      <c r="Q6" s="2" t="n">
        <v>3500</v>
      </c>
      <c r="R6" s="2"/>
      <c r="S6" s="2"/>
      <c r="T6" s="2" t="n">
        <v>38</v>
      </c>
      <c r="U6" s="2" t="str">
        <f aca="false">IF(T6&gt;=70,"High",IF(T6&gt;=40,"Medium","Low"))</f>
        <v>Low</v>
      </c>
      <c r="V6" s="2" t="s">
        <v>555</v>
      </c>
      <c r="W6" s="2" t="n">
        <v>33</v>
      </c>
      <c r="X6" s="2" t="n">
        <v>40</v>
      </c>
      <c r="Y6" s="2" t="n">
        <f aca="false">ROUND((W6+P6)/X6*100,0)</f>
        <v>93</v>
      </c>
      <c r="Z6" s="2" t="str">
        <f aca="false">IF(Y6&lt;=workload_config!$B$6,"Fits capacity","Exceeds capacity - defer")</f>
        <v>Fits capacity</v>
      </c>
      <c r="AA6" s="2" t="s">
        <v>556</v>
      </c>
      <c r="AB6" s="2" t="s">
        <v>557</v>
      </c>
      <c r="AC6" s="2" t="s">
        <v>541</v>
      </c>
    </row>
    <row r="7" customFormat="false" ht="15" hidden="false" customHeight="false" outlineLevel="0" collapsed="false">
      <c r="A7" s="2" t="s">
        <v>558</v>
      </c>
      <c r="B7" s="2" t="s">
        <v>437</v>
      </c>
      <c r="C7" s="2" t="s">
        <v>90</v>
      </c>
      <c r="D7" s="2" t="s">
        <v>91</v>
      </c>
      <c r="E7" s="2" t="s">
        <v>67</v>
      </c>
      <c r="F7" s="2" t="s">
        <v>438</v>
      </c>
      <c r="G7" s="2" t="s">
        <v>439</v>
      </c>
      <c r="H7" s="2" t="n">
        <v>1</v>
      </c>
      <c r="I7" s="2" t="n">
        <v>2</v>
      </c>
      <c r="J7" s="2" t="n">
        <v>1</v>
      </c>
      <c r="K7" s="2" t="s">
        <v>559</v>
      </c>
      <c r="L7" s="2" t="s">
        <v>560</v>
      </c>
      <c r="M7" s="2" t="s">
        <v>554</v>
      </c>
      <c r="N7" s="2" t="s">
        <v>559</v>
      </c>
      <c r="O7" s="2" t="n">
        <v>4</v>
      </c>
      <c r="P7" s="2" t="n">
        <v>5</v>
      </c>
      <c r="Q7" s="2" t="n">
        <v>4000</v>
      </c>
      <c r="R7" s="2"/>
      <c r="S7" s="2"/>
      <c r="T7" s="2" t="n">
        <v>50</v>
      </c>
      <c r="U7" s="2" t="str">
        <f aca="false">IF(T7&gt;=70,"High",IF(T7&gt;=40,"Medium","Low"))</f>
        <v>Medium</v>
      </c>
      <c r="V7" s="2" t="s">
        <v>561</v>
      </c>
      <c r="W7" s="2" t="n">
        <v>29</v>
      </c>
      <c r="X7" s="2" t="n">
        <v>40</v>
      </c>
      <c r="Y7" s="2" t="n">
        <f aca="false">ROUND((W7+P7)/X7*100,0)</f>
        <v>85</v>
      </c>
      <c r="Z7" s="2" t="str">
        <f aca="false">IF(Y7&lt;=workload_config!$B$6,"Fits capacity","Exceeds capacity - defer")</f>
        <v>Fits capacity</v>
      </c>
      <c r="AA7" s="2" t="s">
        <v>546</v>
      </c>
      <c r="AB7" s="2" t="s">
        <v>557</v>
      </c>
      <c r="AC7" s="2" t="s">
        <v>541</v>
      </c>
    </row>
    <row r="8" customFormat="false" ht="15" hidden="false" customHeight="false" outlineLevel="0" collapsed="false">
      <c r="A8" s="2" t="s">
        <v>562</v>
      </c>
      <c r="B8" s="2" t="s">
        <v>441</v>
      </c>
      <c r="C8" s="2" t="s">
        <v>90</v>
      </c>
      <c r="D8" s="2" t="s">
        <v>91</v>
      </c>
      <c r="E8" s="2" t="s">
        <v>67</v>
      </c>
      <c r="F8" s="2" t="s">
        <v>256</v>
      </c>
      <c r="G8" s="2" t="s">
        <v>257</v>
      </c>
      <c r="H8" s="2" t="n">
        <v>1</v>
      </c>
      <c r="I8" s="2" t="n">
        <v>2</v>
      </c>
      <c r="J8" s="2" t="n">
        <v>1</v>
      </c>
      <c r="K8" s="2" t="s">
        <v>563</v>
      </c>
      <c r="L8" s="2" t="s">
        <v>564</v>
      </c>
      <c r="M8" s="2" t="s">
        <v>554</v>
      </c>
      <c r="N8" s="2" t="s">
        <v>563</v>
      </c>
      <c r="O8" s="2" t="n">
        <v>3</v>
      </c>
      <c r="P8" s="2" t="n">
        <v>4</v>
      </c>
      <c r="Q8" s="2" t="n">
        <v>3000</v>
      </c>
      <c r="R8" s="2"/>
      <c r="S8" s="2"/>
      <c r="T8" s="2" t="n">
        <v>43</v>
      </c>
      <c r="U8" s="2" t="str">
        <f aca="false">IF(T8&gt;=70,"High",IF(T8&gt;=40,"Medium","Low"))</f>
        <v>Medium</v>
      </c>
      <c r="V8" s="2" t="s">
        <v>539</v>
      </c>
      <c r="W8" s="2" t="n">
        <v>29</v>
      </c>
      <c r="X8" s="2" t="n">
        <v>40</v>
      </c>
      <c r="Y8" s="2" t="n">
        <f aca="false">ROUND((W8+P8)/X8*100,0)</f>
        <v>83</v>
      </c>
      <c r="Z8" s="2" t="str">
        <f aca="false">IF(Y8&lt;=workload_config!$B$6,"Fits capacity","Exceeds capacity - defer")</f>
        <v>Fits capacity</v>
      </c>
      <c r="AA8" s="2" t="s">
        <v>546</v>
      </c>
      <c r="AB8" s="2" t="s">
        <v>565</v>
      </c>
      <c r="AC8" s="2" t="s">
        <v>541</v>
      </c>
    </row>
    <row r="9" customFormat="false" ht="15" hidden="false" customHeight="false" outlineLevel="0" collapsed="false">
      <c r="A9" s="2" t="s">
        <v>566</v>
      </c>
      <c r="B9" s="2" t="s">
        <v>443</v>
      </c>
      <c r="C9" s="2" t="s">
        <v>90</v>
      </c>
      <c r="D9" s="2" t="s">
        <v>91</v>
      </c>
      <c r="E9" s="2" t="s">
        <v>67</v>
      </c>
      <c r="F9" s="2" t="s">
        <v>444</v>
      </c>
      <c r="G9" s="2" t="s">
        <v>445</v>
      </c>
      <c r="H9" s="2" t="n">
        <v>1</v>
      </c>
      <c r="I9" s="2" t="n">
        <v>2</v>
      </c>
      <c r="J9" s="2" t="n">
        <v>1</v>
      </c>
      <c r="K9" s="2" t="s">
        <v>567</v>
      </c>
      <c r="L9" s="2" t="s">
        <v>568</v>
      </c>
      <c r="M9" s="2" t="s">
        <v>554</v>
      </c>
      <c r="N9" s="2" t="s">
        <v>567</v>
      </c>
      <c r="O9" s="2" t="n">
        <v>2</v>
      </c>
      <c r="P9" s="2" t="n">
        <v>4</v>
      </c>
      <c r="Q9" s="2" t="n">
        <v>3000</v>
      </c>
      <c r="R9" s="2"/>
      <c r="S9" s="2"/>
      <c r="T9" s="2" t="n">
        <v>43</v>
      </c>
      <c r="U9" s="2" t="str">
        <f aca="false">IF(T9&gt;=70,"High",IF(T9&gt;=40,"Medium","Low"))</f>
        <v>Medium</v>
      </c>
      <c r="V9" s="2" t="s">
        <v>555</v>
      </c>
      <c r="W9" s="2" t="n">
        <v>29</v>
      </c>
      <c r="X9" s="2" t="n">
        <v>40</v>
      </c>
      <c r="Y9" s="2" t="n">
        <f aca="false">ROUND((W9+P9)/X9*100,0)</f>
        <v>83</v>
      </c>
      <c r="Z9" s="2" t="str">
        <f aca="false">IF(Y9&lt;=workload_config!$B$6,"Fits capacity","Exceeds capacity - defer")</f>
        <v>Fits capacity</v>
      </c>
      <c r="AA9" s="2" t="s">
        <v>546</v>
      </c>
      <c r="AB9" s="2" t="s">
        <v>540</v>
      </c>
      <c r="AC9" s="2" t="s">
        <v>541</v>
      </c>
    </row>
    <row r="10" customFormat="false" ht="15" hidden="false" customHeight="false" outlineLevel="0" collapsed="false">
      <c r="A10" s="2" t="s">
        <v>569</v>
      </c>
      <c r="B10" s="2" t="s">
        <v>447</v>
      </c>
      <c r="C10" s="2" t="s">
        <v>94</v>
      </c>
      <c r="D10" s="2" t="s">
        <v>95</v>
      </c>
      <c r="E10" s="2" t="s">
        <v>96</v>
      </c>
      <c r="F10" s="2" t="s">
        <v>448</v>
      </c>
      <c r="G10" s="2" t="s">
        <v>449</v>
      </c>
      <c r="H10" s="2" t="n">
        <v>2</v>
      </c>
      <c r="I10" s="2" t="n">
        <v>4</v>
      </c>
      <c r="J10" s="2" t="n">
        <v>2</v>
      </c>
      <c r="K10" s="2" t="s">
        <v>570</v>
      </c>
      <c r="L10" s="2" t="s">
        <v>571</v>
      </c>
      <c r="M10" s="2" t="s">
        <v>538</v>
      </c>
      <c r="N10" s="2" t="s">
        <v>572</v>
      </c>
      <c r="O10" s="2" t="n">
        <v>10</v>
      </c>
      <c r="P10" s="2" t="n">
        <v>5</v>
      </c>
      <c r="Q10" s="2" t="n">
        <v>24000</v>
      </c>
      <c r="R10" s="2"/>
      <c r="S10" s="2"/>
      <c r="T10" s="2" t="n">
        <v>95</v>
      </c>
      <c r="U10" s="2" t="str">
        <f aca="false">IF(T10&gt;=70,"High",IF(T10&gt;=40,"Medium","Low"))</f>
        <v>High</v>
      </c>
      <c r="V10" s="2" t="s">
        <v>573</v>
      </c>
      <c r="W10" s="2" t="n">
        <v>24</v>
      </c>
      <c r="X10" s="2" t="n">
        <v>40</v>
      </c>
      <c r="Y10" s="2" t="n">
        <f aca="false">ROUND((W10+P10)/X10*100,0)</f>
        <v>73</v>
      </c>
      <c r="Z10" s="2" t="str">
        <f aca="false">IF(Y10&lt;=workload_config!$B$6,"Fits capacity","Exceeds capacity - defer")</f>
        <v>Fits capacity</v>
      </c>
      <c r="AA10" s="2" t="s">
        <v>46</v>
      </c>
      <c r="AB10" s="2" t="s">
        <v>574</v>
      </c>
      <c r="AC10" s="2" t="s">
        <v>541</v>
      </c>
    </row>
    <row r="11" customFormat="false" ht="15" hidden="false" customHeight="false" outlineLevel="0" collapsed="false">
      <c r="A11" s="2" t="s">
        <v>575</v>
      </c>
      <c r="B11" s="2" t="s">
        <v>452</v>
      </c>
      <c r="C11" s="2" t="s">
        <v>97</v>
      </c>
      <c r="D11" s="2" t="s">
        <v>98</v>
      </c>
      <c r="E11" s="2" t="s">
        <v>96</v>
      </c>
      <c r="F11" s="2" t="s">
        <v>448</v>
      </c>
      <c r="G11" s="2" t="s">
        <v>449</v>
      </c>
      <c r="H11" s="2" t="n">
        <v>2</v>
      </c>
      <c r="I11" s="2" t="n">
        <v>4</v>
      </c>
      <c r="J11" s="2" t="n">
        <v>2</v>
      </c>
      <c r="K11" s="2" t="s">
        <v>570</v>
      </c>
      <c r="L11" s="2" t="s">
        <v>571</v>
      </c>
      <c r="M11" s="2" t="s">
        <v>538</v>
      </c>
      <c r="N11" s="2" t="s">
        <v>572</v>
      </c>
      <c r="O11" s="2" t="n">
        <v>10</v>
      </c>
      <c r="P11" s="2" t="n">
        <v>5</v>
      </c>
      <c r="Q11" s="2" t="n">
        <v>24000</v>
      </c>
      <c r="R11" s="2"/>
      <c r="S11" s="2"/>
      <c r="T11" s="2" t="n">
        <v>75</v>
      </c>
      <c r="U11" s="2" t="str">
        <f aca="false">IF(T11&gt;=70,"High",IF(T11&gt;=40,"Medium","Low"))</f>
        <v>High</v>
      </c>
      <c r="V11" s="2" t="s">
        <v>576</v>
      </c>
      <c r="W11" s="2" t="n">
        <v>32</v>
      </c>
      <c r="X11" s="2" t="n">
        <v>40</v>
      </c>
      <c r="Y11" s="2" t="n">
        <f aca="false">ROUND((W11+P11)/X11*100,0)</f>
        <v>93</v>
      </c>
      <c r="Z11" s="2" t="str">
        <f aca="false">IF(Y11&lt;=workload_config!$B$6,"Fits capacity","Exceeds capacity - defer")</f>
        <v>Fits capacity</v>
      </c>
      <c r="AA11" s="2" t="s">
        <v>46</v>
      </c>
      <c r="AB11" s="2" t="s">
        <v>574</v>
      </c>
      <c r="AC11" s="2" t="s">
        <v>541</v>
      </c>
    </row>
    <row r="12" customFormat="false" ht="15" hidden="false" customHeight="false" outlineLevel="0" collapsed="false">
      <c r="A12" s="2" t="s">
        <v>577</v>
      </c>
      <c r="B12" s="2" t="s">
        <v>453</v>
      </c>
      <c r="C12" s="2" t="s">
        <v>97</v>
      </c>
      <c r="D12" s="2" t="s">
        <v>98</v>
      </c>
      <c r="E12" s="2" t="s">
        <v>96</v>
      </c>
      <c r="F12" s="2" t="s">
        <v>454</v>
      </c>
      <c r="G12" s="2" t="s">
        <v>455</v>
      </c>
      <c r="H12" s="2" t="n">
        <v>1</v>
      </c>
      <c r="I12" s="2" t="n">
        <v>3</v>
      </c>
      <c r="J12" s="2" t="n">
        <v>2</v>
      </c>
      <c r="K12" s="2" t="s">
        <v>578</v>
      </c>
      <c r="L12" s="2" t="s">
        <v>579</v>
      </c>
      <c r="M12" s="2" t="s">
        <v>580</v>
      </c>
      <c r="N12" s="2" t="s">
        <v>578</v>
      </c>
      <c r="O12" s="2" t="n">
        <v>5</v>
      </c>
      <c r="P12" s="2" t="n">
        <v>5</v>
      </c>
      <c r="Q12" s="2" t="n">
        <v>16000</v>
      </c>
      <c r="R12" s="2"/>
      <c r="S12" s="2"/>
      <c r="T12" s="2" t="n">
        <v>91</v>
      </c>
      <c r="U12" s="2" t="str">
        <f aca="false">IF(T12&gt;=70,"High",IF(T12&gt;=40,"Medium","Low"))</f>
        <v>High</v>
      </c>
      <c r="V12" s="2" t="s">
        <v>581</v>
      </c>
      <c r="W12" s="2" t="n">
        <v>32</v>
      </c>
      <c r="X12" s="2" t="n">
        <v>40</v>
      </c>
      <c r="Y12" s="2" t="n">
        <f aca="false">ROUND((W12+P12)/X12*100,0)</f>
        <v>93</v>
      </c>
      <c r="Z12" s="2" t="str">
        <f aca="false">IF(Y12&lt;=workload_config!$B$6,"Fits capacity","Exceeds capacity - defer")</f>
        <v>Fits capacity</v>
      </c>
      <c r="AA12" s="2" t="s">
        <v>46</v>
      </c>
      <c r="AB12" s="2" t="s">
        <v>557</v>
      </c>
      <c r="AC12" s="2" t="s">
        <v>582</v>
      </c>
    </row>
    <row r="13" customFormat="false" ht="15" hidden="false" customHeight="false" outlineLevel="0" collapsed="false">
      <c r="A13" s="2" t="s">
        <v>583</v>
      </c>
      <c r="B13" s="2" t="s">
        <v>459</v>
      </c>
      <c r="C13" s="2" t="s">
        <v>99</v>
      </c>
      <c r="D13" s="2" t="s">
        <v>100</v>
      </c>
      <c r="E13" s="2" t="s">
        <v>96</v>
      </c>
      <c r="F13" s="2" t="s">
        <v>448</v>
      </c>
      <c r="G13" s="2" t="s">
        <v>449</v>
      </c>
      <c r="H13" s="2" t="n">
        <v>2</v>
      </c>
      <c r="I13" s="2" t="n">
        <v>4</v>
      </c>
      <c r="J13" s="2" t="n">
        <v>2</v>
      </c>
      <c r="K13" s="2" t="s">
        <v>570</v>
      </c>
      <c r="L13" s="2" t="s">
        <v>571</v>
      </c>
      <c r="M13" s="2" t="s">
        <v>538</v>
      </c>
      <c r="N13" s="2" t="s">
        <v>572</v>
      </c>
      <c r="O13" s="2" t="n">
        <v>10</v>
      </c>
      <c r="P13" s="2" t="n">
        <v>5</v>
      </c>
      <c r="Q13" s="2" t="n">
        <v>24000</v>
      </c>
      <c r="R13" s="2"/>
      <c r="S13" s="2"/>
      <c r="T13" s="2" t="n">
        <v>91</v>
      </c>
      <c r="U13" s="2" t="str">
        <f aca="false">IF(T13&gt;=70,"High",IF(T13&gt;=40,"Medium","Low"))</f>
        <v>High</v>
      </c>
      <c r="V13" s="2" t="s">
        <v>584</v>
      </c>
      <c r="W13" s="2" t="n">
        <v>26</v>
      </c>
      <c r="X13" s="2" t="n">
        <v>40</v>
      </c>
      <c r="Y13" s="2" t="n">
        <f aca="false">ROUND((W13+P13)/X13*100,0)</f>
        <v>78</v>
      </c>
      <c r="Z13" s="2" t="str">
        <f aca="false">IF(Y13&lt;=workload_config!$B$6,"Fits capacity","Exceeds capacity - defer")</f>
        <v>Fits capacity</v>
      </c>
      <c r="AA13" s="2" t="s">
        <v>46</v>
      </c>
      <c r="AB13" s="2" t="s">
        <v>574</v>
      </c>
      <c r="AC13" s="2" t="s">
        <v>541</v>
      </c>
    </row>
    <row r="14" customFormat="false" ht="15" hidden="false" customHeight="false" outlineLevel="0" collapsed="false">
      <c r="A14" s="2" t="s">
        <v>585</v>
      </c>
      <c r="B14" s="2" t="s">
        <v>460</v>
      </c>
      <c r="C14" s="2" t="s">
        <v>101</v>
      </c>
      <c r="D14" s="2" t="s">
        <v>102</v>
      </c>
      <c r="E14" s="2" t="s">
        <v>96</v>
      </c>
      <c r="F14" s="2" t="s">
        <v>248</v>
      </c>
      <c r="G14" s="2" t="s">
        <v>249</v>
      </c>
      <c r="H14" s="2" t="n">
        <v>1</v>
      </c>
      <c r="I14" s="2" t="n">
        <v>2</v>
      </c>
      <c r="J14" s="2" t="n">
        <v>1</v>
      </c>
      <c r="K14" s="2" t="s">
        <v>586</v>
      </c>
      <c r="L14" s="2" t="s">
        <v>587</v>
      </c>
      <c r="M14" s="2" t="s">
        <v>580</v>
      </c>
      <c r="N14" s="2" t="s">
        <v>586</v>
      </c>
      <c r="O14" s="2" t="n">
        <v>5</v>
      </c>
      <c r="P14" s="2" t="n">
        <v>5</v>
      </c>
      <c r="Q14" s="2" t="n">
        <v>7000</v>
      </c>
      <c r="R14" s="2"/>
      <c r="S14" s="2"/>
      <c r="T14" s="2" t="n">
        <v>43</v>
      </c>
      <c r="U14" s="2" t="str">
        <f aca="false">IF(T14&gt;=70,"High",IF(T14&gt;=40,"Medium","Low"))</f>
        <v>Medium</v>
      </c>
      <c r="V14" s="2" t="s">
        <v>539</v>
      </c>
      <c r="W14" s="2" t="n">
        <v>29</v>
      </c>
      <c r="X14" s="2" t="n">
        <v>40</v>
      </c>
      <c r="Y14" s="2" t="n">
        <f aca="false">ROUND((W14+P14)/X14*100,0)</f>
        <v>85</v>
      </c>
      <c r="Z14" s="2" t="str">
        <f aca="false">IF(Y14&lt;=workload_config!$B$6,"Fits capacity","Exceeds capacity - defer")</f>
        <v>Fits capacity</v>
      </c>
      <c r="AA14" s="2" t="s">
        <v>546</v>
      </c>
      <c r="AB14" s="2" t="s">
        <v>588</v>
      </c>
      <c r="AC14" s="2" t="s">
        <v>541</v>
      </c>
    </row>
    <row r="15" customFormat="false" ht="15" hidden="false" customHeight="false" outlineLevel="0" collapsed="false">
      <c r="A15" s="2" t="s">
        <v>589</v>
      </c>
      <c r="B15" s="2" t="s">
        <v>463</v>
      </c>
      <c r="C15" s="2" t="s">
        <v>101</v>
      </c>
      <c r="D15" s="2" t="s">
        <v>102</v>
      </c>
      <c r="E15" s="2" t="s">
        <v>96</v>
      </c>
      <c r="F15" s="2" t="s">
        <v>464</v>
      </c>
      <c r="G15" s="2" t="s">
        <v>465</v>
      </c>
      <c r="H15" s="2" t="n">
        <v>1</v>
      </c>
      <c r="I15" s="2" t="n">
        <v>2</v>
      </c>
      <c r="J15" s="2" t="n">
        <v>1</v>
      </c>
      <c r="K15" s="2" t="s">
        <v>590</v>
      </c>
      <c r="L15" s="2" t="s">
        <v>591</v>
      </c>
      <c r="M15" s="2" t="s">
        <v>592</v>
      </c>
      <c r="N15" s="2" t="s">
        <v>590</v>
      </c>
      <c r="O15" s="2" t="n">
        <v>5</v>
      </c>
      <c r="P15" s="2" t="n">
        <v>5</v>
      </c>
      <c r="Q15" s="2" t="n">
        <v>11000</v>
      </c>
      <c r="R15" s="2"/>
      <c r="S15" s="2"/>
      <c r="T15" s="2" t="n">
        <v>38</v>
      </c>
      <c r="U15" s="2" t="str">
        <f aca="false">IF(T15&gt;=70,"High",IF(T15&gt;=40,"Medium","Low"))</f>
        <v>Low</v>
      </c>
      <c r="V15" s="2" t="s">
        <v>539</v>
      </c>
      <c r="W15" s="2" t="n">
        <v>29</v>
      </c>
      <c r="X15" s="2" t="n">
        <v>40</v>
      </c>
      <c r="Y15" s="2" t="n">
        <f aca="false">ROUND((W15+P15)/X15*100,0)</f>
        <v>85</v>
      </c>
      <c r="Z15" s="2" t="str">
        <f aca="false">IF(Y15&lt;=workload_config!$B$6,"Fits capacity","Exceeds capacity - defer")</f>
        <v>Fits capacity</v>
      </c>
      <c r="AA15" s="2" t="s">
        <v>556</v>
      </c>
      <c r="AB15" s="2" t="s">
        <v>547</v>
      </c>
      <c r="AC15" s="2" t="s">
        <v>541</v>
      </c>
    </row>
    <row r="16" customFormat="false" ht="15" hidden="false" customHeight="false" outlineLevel="0" collapsed="false">
      <c r="A16" s="2" t="s">
        <v>593</v>
      </c>
      <c r="B16" s="2" t="s">
        <v>467</v>
      </c>
      <c r="C16" s="2" t="s">
        <v>105</v>
      </c>
      <c r="D16" s="2" t="s">
        <v>106</v>
      </c>
      <c r="E16" s="2" t="s">
        <v>96</v>
      </c>
      <c r="F16" s="2" t="s">
        <v>444</v>
      </c>
      <c r="G16" s="2" t="s">
        <v>445</v>
      </c>
      <c r="H16" s="2" t="n">
        <v>1</v>
      </c>
      <c r="I16" s="2" t="n">
        <v>2</v>
      </c>
      <c r="J16" s="2" t="n">
        <v>1</v>
      </c>
      <c r="K16" s="2" t="s">
        <v>567</v>
      </c>
      <c r="L16" s="2" t="s">
        <v>568</v>
      </c>
      <c r="M16" s="2" t="s">
        <v>554</v>
      </c>
      <c r="N16" s="2" t="s">
        <v>567</v>
      </c>
      <c r="O16" s="2" t="n">
        <v>2</v>
      </c>
      <c r="P16" s="2" t="n">
        <v>4</v>
      </c>
      <c r="Q16" s="2" t="n">
        <v>3000</v>
      </c>
      <c r="R16" s="2"/>
      <c r="S16" s="2"/>
      <c r="T16" s="2" t="n">
        <v>43</v>
      </c>
      <c r="U16" s="2" t="str">
        <f aca="false">IF(T16&gt;=70,"High",IF(T16&gt;=40,"Medium","Low"))</f>
        <v>Medium</v>
      </c>
      <c r="V16" s="2" t="s">
        <v>555</v>
      </c>
      <c r="W16" s="2" t="n">
        <v>31</v>
      </c>
      <c r="X16" s="2" t="n">
        <v>40</v>
      </c>
      <c r="Y16" s="2" t="n">
        <f aca="false">ROUND((W16+P16)/X16*100,0)</f>
        <v>88</v>
      </c>
      <c r="Z16" s="2" t="str">
        <f aca="false">IF(Y16&lt;=workload_config!$B$6,"Fits capacity","Exceeds capacity - defer")</f>
        <v>Fits capacity</v>
      </c>
      <c r="AA16" s="2" t="s">
        <v>546</v>
      </c>
      <c r="AB16" s="2" t="s">
        <v>540</v>
      </c>
      <c r="AC16" s="2" t="s">
        <v>541</v>
      </c>
    </row>
    <row r="17" customFormat="false" ht="15" hidden="false" customHeight="false" outlineLevel="0" collapsed="false">
      <c r="A17" s="2" t="s">
        <v>594</v>
      </c>
      <c r="B17" s="2" t="s">
        <v>468</v>
      </c>
      <c r="C17" s="2" t="s">
        <v>117</v>
      </c>
      <c r="D17" s="2" t="s">
        <v>118</v>
      </c>
      <c r="E17" s="2" t="s">
        <v>119</v>
      </c>
      <c r="F17" s="2" t="s">
        <v>454</v>
      </c>
      <c r="G17" s="2" t="s">
        <v>455</v>
      </c>
      <c r="H17" s="2" t="n">
        <v>1</v>
      </c>
      <c r="I17" s="2" t="n">
        <v>3</v>
      </c>
      <c r="J17" s="2" t="n">
        <v>2</v>
      </c>
      <c r="K17" s="2" t="s">
        <v>578</v>
      </c>
      <c r="L17" s="2" t="s">
        <v>579</v>
      </c>
      <c r="M17" s="2" t="s">
        <v>580</v>
      </c>
      <c r="N17" s="2" t="s">
        <v>578</v>
      </c>
      <c r="O17" s="2" t="n">
        <v>5</v>
      </c>
      <c r="P17" s="2" t="n">
        <v>5</v>
      </c>
      <c r="Q17" s="2" t="n">
        <v>16000</v>
      </c>
      <c r="R17" s="2"/>
      <c r="S17" s="2"/>
      <c r="T17" s="2" t="n">
        <v>91</v>
      </c>
      <c r="U17" s="2" t="str">
        <f aca="false">IF(T17&gt;=70,"High",IF(T17&gt;=40,"Medium","Low"))</f>
        <v>High</v>
      </c>
      <c r="V17" s="2" t="s">
        <v>581</v>
      </c>
      <c r="W17" s="2" t="n">
        <v>28</v>
      </c>
      <c r="X17" s="2" t="n">
        <v>40</v>
      </c>
      <c r="Y17" s="2" t="n">
        <f aca="false">ROUND((W17+P17)/X17*100,0)</f>
        <v>83</v>
      </c>
      <c r="Z17" s="2" t="str">
        <f aca="false">IF(Y17&lt;=workload_config!$B$6,"Fits capacity","Exceeds capacity - defer")</f>
        <v>Fits capacity</v>
      </c>
      <c r="AA17" s="2" t="s">
        <v>46</v>
      </c>
      <c r="AB17" s="2" t="s">
        <v>557</v>
      </c>
      <c r="AC17" s="2" t="s">
        <v>541</v>
      </c>
    </row>
    <row r="18" customFormat="false" ht="15" hidden="false" customHeight="false" outlineLevel="0" collapsed="false">
      <c r="A18" s="2" t="s">
        <v>595</v>
      </c>
      <c r="B18" s="2" t="s">
        <v>469</v>
      </c>
      <c r="C18" s="2" t="s">
        <v>124</v>
      </c>
      <c r="D18" s="2" t="s">
        <v>125</v>
      </c>
      <c r="E18" s="2" t="s">
        <v>119</v>
      </c>
      <c r="F18" s="2" t="s">
        <v>470</v>
      </c>
      <c r="G18" s="2" t="s">
        <v>471</v>
      </c>
      <c r="H18" s="2" t="n">
        <v>1</v>
      </c>
      <c r="I18" s="2" t="n">
        <v>2</v>
      </c>
      <c r="J18" s="2" t="n">
        <v>1</v>
      </c>
      <c r="K18" s="2" t="s">
        <v>596</v>
      </c>
      <c r="L18" s="2" t="s">
        <v>597</v>
      </c>
      <c r="M18" s="2" t="s">
        <v>554</v>
      </c>
      <c r="N18" s="2" t="s">
        <v>596</v>
      </c>
      <c r="O18" s="2" t="n">
        <v>3</v>
      </c>
      <c r="P18" s="2" t="n">
        <v>4</v>
      </c>
      <c r="Q18" s="2" t="n">
        <v>3000</v>
      </c>
      <c r="R18" s="2"/>
      <c r="S18" s="2"/>
      <c r="T18" s="2" t="n">
        <v>43</v>
      </c>
      <c r="U18" s="2" t="str">
        <f aca="false">IF(T18&gt;=70,"High",IF(T18&gt;=40,"Medium","Low"))</f>
        <v>Medium</v>
      </c>
      <c r="V18" s="2" t="s">
        <v>539</v>
      </c>
      <c r="W18" s="2" t="n">
        <v>27</v>
      </c>
      <c r="X18" s="2" t="n">
        <v>40</v>
      </c>
      <c r="Y18" s="2" t="n">
        <f aca="false">ROUND((W18+P18)/X18*100,0)</f>
        <v>78</v>
      </c>
      <c r="Z18" s="2" t="str">
        <f aca="false">IF(Y18&lt;=workload_config!$B$6,"Fits capacity","Exceeds capacity - defer")</f>
        <v>Fits capacity</v>
      </c>
      <c r="AA18" s="2" t="s">
        <v>546</v>
      </c>
      <c r="AB18" s="2" t="s">
        <v>565</v>
      </c>
      <c r="AC18" s="2" t="s">
        <v>541</v>
      </c>
    </row>
    <row r="19" customFormat="false" ht="15" hidden="false" customHeight="false" outlineLevel="0" collapsed="false">
      <c r="A19" s="2" t="s">
        <v>598</v>
      </c>
      <c r="B19" s="2" t="s">
        <v>474</v>
      </c>
      <c r="C19" s="2" t="s">
        <v>124</v>
      </c>
      <c r="D19" s="2" t="s">
        <v>125</v>
      </c>
      <c r="E19" s="2" t="s">
        <v>119</v>
      </c>
      <c r="F19" s="2" t="s">
        <v>475</v>
      </c>
      <c r="G19" s="2" t="s">
        <v>476</v>
      </c>
      <c r="H19" s="2" t="n">
        <v>1</v>
      </c>
      <c r="I19" s="2" t="n">
        <v>2</v>
      </c>
      <c r="J19" s="2" t="n">
        <v>1</v>
      </c>
      <c r="K19" s="2" t="s">
        <v>599</v>
      </c>
      <c r="L19" s="2" t="s">
        <v>600</v>
      </c>
      <c r="M19" s="2" t="s">
        <v>580</v>
      </c>
      <c r="N19" s="2" t="s">
        <v>599</v>
      </c>
      <c r="O19" s="2" t="n">
        <v>5</v>
      </c>
      <c r="P19" s="2" t="n">
        <v>5</v>
      </c>
      <c r="Q19" s="2" t="n">
        <v>12000</v>
      </c>
      <c r="R19" s="2"/>
      <c r="S19" s="2"/>
      <c r="T19" s="2" t="n">
        <v>43</v>
      </c>
      <c r="U19" s="2" t="str">
        <f aca="false">IF(T19&gt;=70,"High",IF(T19&gt;=40,"Medium","Low"))</f>
        <v>Medium</v>
      </c>
      <c r="V19" s="2" t="s">
        <v>539</v>
      </c>
      <c r="W19" s="2" t="n">
        <v>27</v>
      </c>
      <c r="X19" s="2" t="n">
        <v>40</v>
      </c>
      <c r="Y19" s="2" t="n">
        <f aca="false">ROUND((W19+P19)/X19*100,0)</f>
        <v>80</v>
      </c>
      <c r="Z19" s="2" t="str">
        <f aca="false">IF(Y19&lt;=workload_config!$B$6,"Fits capacity","Exceeds capacity - defer")</f>
        <v>Fits capacity</v>
      </c>
      <c r="AA19" s="2" t="s">
        <v>546</v>
      </c>
      <c r="AB19" s="2" t="s">
        <v>588</v>
      </c>
      <c r="AC19" s="2" t="s">
        <v>541</v>
      </c>
    </row>
    <row r="20" customFormat="false" ht="15" hidden="false" customHeight="false" outlineLevel="0" collapsed="false">
      <c r="A20" s="2" t="s">
        <v>601</v>
      </c>
      <c r="B20" s="2" t="s">
        <v>478</v>
      </c>
      <c r="C20" s="2" t="s">
        <v>128</v>
      </c>
      <c r="D20" s="2" t="s">
        <v>129</v>
      </c>
      <c r="E20" s="2" t="s">
        <v>119</v>
      </c>
      <c r="F20" s="2" t="s">
        <v>479</v>
      </c>
      <c r="G20" s="2" t="s">
        <v>480</v>
      </c>
      <c r="H20" s="2" t="n">
        <v>1</v>
      </c>
      <c r="I20" s="2" t="n">
        <v>3</v>
      </c>
      <c r="J20" s="2" t="n">
        <v>2</v>
      </c>
      <c r="K20" s="2" t="s">
        <v>602</v>
      </c>
      <c r="L20" s="2" t="s">
        <v>603</v>
      </c>
      <c r="M20" s="2" t="s">
        <v>580</v>
      </c>
      <c r="N20" s="2" t="s">
        <v>604</v>
      </c>
      <c r="O20" s="2" t="n">
        <v>7</v>
      </c>
      <c r="P20" s="2" t="n">
        <v>4</v>
      </c>
      <c r="Q20" s="2" t="n">
        <v>23000</v>
      </c>
      <c r="R20" s="2"/>
      <c r="S20" s="2"/>
      <c r="T20" s="2" t="n">
        <v>68</v>
      </c>
      <c r="U20" s="2" t="str">
        <f aca="false">IF(T20&gt;=70,"High",IF(T20&gt;=40,"Medium","Low"))</f>
        <v>Medium</v>
      </c>
      <c r="V20" s="2" t="s">
        <v>605</v>
      </c>
      <c r="W20" s="2" t="n">
        <v>31</v>
      </c>
      <c r="X20" s="2" t="n">
        <v>40</v>
      </c>
      <c r="Y20" s="2" t="n">
        <f aca="false">ROUND((W20+P20)/X20*100,0)</f>
        <v>88</v>
      </c>
      <c r="Z20" s="2" t="str">
        <f aca="false">IF(Y20&lt;=workload_config!$B$6,"Fits capacity","Exceeds capacity - defer")</f>
        <v>Fits capacity</v>
      </c>
      <c r="AA20" s="2" t="s">
        <v>546</v>
      </c>
      <c r="AB20" s="2" t="s">
        <v>606</v>
      </c>
      <c r="AC20" s="2" t="s">
        <v>541</v>
      </c>
    </row>
    <row r="21" customFormat="false" ht="15" hidden="false" customHeight="false" outlineLevel="0" collapsed="false">
      <c r="A21" s="2" t="s">
        <v>607</v>
      </c>
      <c r="B21" s="2" t="s">
        <v>482</v>
      </c>
      <c r="C21" s="2" t="s">
        <v>134</v>
      </c>
      <c r="D21" s="2" t="s">
        <v>135</v>
      </c>
      <c r="E21" s="2" t="s">
        <v>119</v>
      </c>
      <c r="F21" s="2" t="s">
        <v>248</v>
      </c>
      <c r="G21" s="2" t="s">
        <v>249</v>
      </c>
      <c r="H21" s="2" t="n">
        <v>1</v>
      </c>
      <c r="I21" s="2" t="n">
        <v>2</v>
      </c>
      <c r="J21" s="2" t="n">
        <v>1</v>
      </c>
      <c r="K21" s="2" t="s">
        <v>586</v>
      </c>
      <c r="L21" s="2" t="s">
        <v>587</v>
      </c>
      <c r="M21" s="2" t="s">
        <v>580</v>
      </c>
      <c r="N21" s="2" t="s">
        <v>586</v>
      </c>
      <c r="O21" s="2" t="n">
        <v>5</v>
      </c>
      <c r="P21" s="2" t="n">
        <v>5</v>
      </c>
      <c r="Q21" s="2" t="n">
        <v>7000</v>
      </c>
      <c r="R21" s="2"/>
      <c r="S21" s="2"/>
      <c r="T21" s="2" t="n">
        <v>43</v>
      </c>
      <c r="U21" s="2" t="str">
        <f aca="false">IF(T21&gt;=70,"High",IF(T21&gt;=40,"Medium","Low"))</f>
        <v>Medium</v>
      </c>
      <c r="V21" s="2" t="s">
        <v>539</v>
      </c>
      <c r="W21" s="2" t="n">
        <v>30</v>
      </c>
      <c r="X21" s="2" t="n">
        <v>40</v>
      </c>
      <c r="Y21" s="2" t="n">
        <f aca="false">ROUND((W21+P21)/X21*100,0)</f>
        <v>88</v>
      </c>
      <c r="Z21" s="2" t="str">
        <f aca="false">IF(Y21&lt;=workload_config!$B$6,"Fits capacity","Exceeds capacity - defer")</f>
        <v>Fits capacity</v>
      </c>
      <c r="AA21" s="2" t="s">
        <v>546</v>
      </c>
      <c r="AB21" s="2" t="s">
        <v>588</v>
      </c>
      <c r="AC21" s="2" t="s">
        <v>541</v>
      </c>
    </row>
    <row r="22" customFormat="false" ht="15" hidden="false" customHeight="false" outlineLevel="0" collapsed="false">
      <c r="A22" s="2" t="s">
        <v>608</v>
      </c>
      <c r="B22" s="2" t="s">
        <v>484</v>
      </c>
      <c r="C22" s="2" t="s">
        <v>134</v>
      </c>
      <c r="D22" s="2" t="s">
        <v>135</v>
      </c>
      <c r="E22" s="2" t="s">
        <v>119</v>
      </c>
      <c r="F22" s="2" t="s">
        <v>256</v>
      </c>
      <c r="G22" s="2" t="s">
        <v>257</v>
      </c>
      <c r="H22" s="2" t="n">
        <v>1</v>
      </c>
      <c r="I22" s="2" t="n">
        <v>2</v>
      </c>
      <c r="J22" s="2" t="n">
        <v>1</v>
      </c>
      <c r="K22" s="2" t="s">
        <v>563</v>
      </c>
      <c r="L22" s="2" t="s">
        <v>564</v>
      </c>
      <c r="M22" s="2" t="s">
        <v>554</v>
      </c>
      <c r="N22" s="2" t="s">
        <v>563</v>
      </c>
      <c r="O22" s="2" t="n">
        <v>3</v>
      </c>
      <c r="P22" s="2" t="n">
        <v>4</v>
      </c>
      <c r="Q22" s="2" t="n">
        <v>3000</v>
      </c>
      <c r="R22" s="2"/>
      <c r="S22" s="2"/>
      <c r="T22" s="2" t="n">
        <v>38</v>
      </c>
      <c r="U22" s="2" t="str">
        <f aca="false">IF(T22&gt;=70,"High",IF(T22&gt;=40,"Medium","Low"))</f>
        <v>Low</v>
      </c>
      <c r="V22" s="2" t="s">
        <v>539</v>
      </c>
      <c r="W22" s="2" t="n">
        <v>30</v>
      </c>
      <c r="X22" s="2" t="n">
        <v>40</v>
      </c>
      <c r="Y22" s="2" t="n">
        <f aca="false">ROUND((W22+P22)/X22*100,0)</f>
        <v>85</v>
      </c>
      <c r="Z22" s="2" t="str">
        <f aca="false">IF(Y22&lt;=workload_config!$B$6,"Fits capacity","Exceeds capacity - defer")</f>
        <v>Fits capacity</v>
      </c>
      <c r="AA22" s="2" t="s">
        <v>556</v>
      </c>
      <c r="AB22" s="2" t="s">
        <v>557</v>
      </c>
      <c r="AC22" s="2" t="s">
        <v>541</v>
      </c>
    </row>
    <row r="23" customFormat="false" ht="15" hidden="false" customHeight="false" outlineLevel="0" collapsed="false">
      <c r="A23" s="2" t="s">
        <v>609</v>
      </c>
      <c r="B23" s="2" t="s">
        <v>486</v>
      </c>
      <c r="C23" s="2" t="s">
        <v>136</v>
      </c>
      <c r="D23" s="2" t="s">
        <v>137</v>
      </c>
      <c r="E23" s="2" t="s">
        <v>119</v>
      </c>
      <c r="F23" s="2" t="s">
        <v>479</v>
      </c>
      <c r="G23" s="2" t="s">
        <v>480</v>
      </c>
      <c r="H23" s="2" t="n">
        <v>1</v>
      </c>
      <c r="I23" s="2" t="n">
        <v>3</v>
      </c>
      <c r="J23" s="2" t="n">
        <v>2</v>
      </c>
      <c r="K23" s="2" t="s">
        <v>602</v>
      </c>
      <c r="L23" s="2" t="s">
        <v>603</v>
      </c>
      <c r="M23" s="2" t="s">
        <v>580</v>
      </c>
      <c r="N23" s="2" t="s">
        <v>604</v>
      </c>
      <c r="O23" s="2" t="n">
        <v>7</v>
      </c>
      <c r="P23" s="2" t="n">
        <v>4</v>
      </c>
      <c r="Q23" s="2" t="n">
        <v>23000</v>
      </c>
      <c r="R23" s="2"/>
      <c r="S23" s="2"/>
      <c r="T23" s="2" t="n">
        <v>88</v>
      </c>
      <c r="U23" s="2" t="str">
        <f aca="false">IF(T23&gt;=70,"High",IF(T23&gt;=40,"Medium","Low"))</f>
        <v>High</v>
      </c>
      <c r="V23" s="2" t="s">
        <v>610</v>
      </c>
      <c r="W23" s="2" t="n">
        <v>25</v>
      </c>
      <c r="X23" s="2" t="n">
        <v>40</v>
      </c>
      <c r="Y23" s="2" t="n">
        <f aca="false">ROUND((W23+P23)/X23*100,0)</f>
        <v>73</v>
      </c>
      <c r="Z23" s="2" t="str">
        <f aca="false">IF(Y23&lt;=workload_config!$B$6,"Fits capacity","Exceeds capacity - defer")</f>
        <v>Fits capacity</v>
      </c>
      <c r="AA23" s="2" t="s">
        <v>46</v>
      </c>
      <c r="AB23" s="2" t="s">
        <v>547</v>
      </c>
      <c r="AC23" s="2" t="s">
        <v>582</v>
      </c>
    </row>
    <row r="24" customFormat="false" ht="15" hidden="false" customHeight="false" outlineLevel="0" collapsed="false">
      <c r="A24" s="2" t="s">
        <v>611</v>
      </c>
      <c r="B24" s="2" t="s">
        <v>487</v>
      </c>
      <c r="C24" s="2" t="s">
        <v>147</v>
      </c>
      <c r="D24" s="2" t="s">
        <v>148</v>
      </c>
      <c r="E24" s="2" t="s">
        <v>146</v>
      </c>
      <c r="F24" s="2" t="s">
        <v>488</v>
      </c>
      <c r="G24" s="2" t="s">
        <v>489</v>
      </c>
      <c r="H24" s="2" t="n">
        <v>3</v>
      </c>
      <c r="I24" s="2" t="n">
        <v>4</v>
      </c>
      <c r="J24" s="2" t="n">
        <v>1</v>
      </c>
      <c r="K24" s="2" t="s">
        <v>612</v>
      </c>
      <c r="L24" s="2" t="s">
        <v>613</v>
      </c>
      <c r="M24" s="2" t="s">
        <v>554</v>
      </c>
      <c r="N24" s="2" t="s">
        <v>612</v>
      </c>
      <c r="O24" s="2" t="n">
        <v>4</v>
      </c>
      <c r="P24" s="2" t="n">
        <v>5</v>
      </c>
      <c r="Q24" s="2" t="n">
        <v>4000</v>
      </c>
      <c r="R24" s="2"/>
      <c r="S24" s="2"/>
      <c r="T24" s="2" t="n">
        <v>58</v>
      </c>
      <c r="U24" s="2" t="str">
        <f aca="false">IF(T24&gt;=70,"High",IF(T24&gt;=40,"Medium","Low"))</f>
        <v>Medium</v>
      </c>
      <c r="V24" s="2" t="s">
        <v>614</v>
      </c>
      <c r="W24" s="2" t="n">
        <v>25</v>
      </c>
      <c r="X24" s="2" t="n">
        <v>40</v>
      </c>
      <c r="Y24" s="2" t="n">
        <f aca="false">ROUND((W24+P24)/X24*100,0)</f>
        <v>75</v>
      </c>
      <c r="Z24" s="2" t="str">
        <f aca="false">IF(Y24&lt;=workload_config!$B$6,"Fits capacity","Exceeds capacity - defer")</f>
        <v>Fits capacity</v>
      </c>
      <c r="AA24" s="2" t="s">
        <v>546</v>
      </c>
      <c r="AB24" s="2" t="s">
        <v>557</v>
      </c>
      <c r="AC24" s="2" t="s">
        <v>541</v>
      </c>
    </row>
    <row r="25" customFormat="false" ht="15" hidden="false" customHeight="false" outlineLevel="0" collapsed="false">
      <c r="A25" s="2" t="s">
        <v>615</v>
      </c>
      <c r="B25" s="2" t="s">
        <v>491</v>
      </c>
      <c r="C25" s="2" t="s">
        <v>153</v>
      </c>
      <c r="D25" s="2" t="s">
        <v>154</v>
      </c>
      <c r="E25" s="2" t="s">
        <v>146</v>
      </c>
      <c r="F25" s="2" t="s">
        <v>492</v>
      </c>
      <c r="G25" s="2" t="s">
        <v>493</v>
      </c>
      <c r="H25" s="2" t="n">
        <v>1</v>
      </c>
      <c r="I25" s="2" t="n">
        <v>2</v>
      </c>
      <c r="J25" s="2" t="n">
        <v>1</v>
      </c>
      <c r="K25" s="2"/>
      <c r="L25" s="2" t="s">
        <v>543</v>
      </c>
      <c r="M25" s="2" t="s">
        <v>544</v>
      </c>
      <c r="N25" s="2"/>
      <c r="O25" s="2" t="n">
        <v>6</v>
      </c>
      <c r="P25" s="2" t="n">
        <v>2</v>
      </c>
      <c r="Q25" s="2" t="n">
        <v>0</v>
      </c>
      <c r="R25" s="2" t="s">
        <v>144</v>
      </c>
      <c r="S25" s="2" t="s">
        <v>145</v>
      </c>
      <c r="T25" s="2" t="n">
        <v>43</v>
      </c>
      <c r="U25" s="2" t="str">
        <f aca="false">IF(T25&gt;=70,"High",IF(T25&gt;=40,"Medium","Low"))</f>
        <v>Medium</v>
      </c>
      <c r="V25" s="2" t="s">
        <v>616</v>
      </c>
      <c r="W25" s="2" t="n">
        <v>24</v>
      </c>
      <c r="X25" s="2" t="n">
        <v>40</v>
      </c>
      <c r="Y25" s="2" t="n">
        <f aca="false">ROUND((W25+P25)/X25*100,0)</f>
        <v>65</v>
      </c>
      <c r="Z25" s="2" t="str">
        <f aca="false">IF(Y25&lt;=workload_config!$B$6,"Fits capacity","Exceeds capacity - defer")</f>
        <v>Fits capacity</v>
      </c>
      <c r="AA25" s="2" t="s">
        <v>546</v>
      </c>
      <c r="AB25" s="2" t="s">
        <v>547</v>
      </c>
      <c r="AC25" s="2" t="s">
        <v>541</v>
      </c>
    </row>
    <row r="26" customFormat="false" ht="15" hidden="false" customHeight="false" outlineLevel="0" collapsed="false">
      <c r="A26" s="2" t="s">
        <v>617</v>
      </c>
      <c r="B26" s="2" t="s">
        <v>494</v>
      </c>
      <c r="C26" s="2" t="s">
        <v>159</v>
      </c>
      <c r="D26" s="2" t="s">
        <v>160</v>
      </c>
      <c r="E26" s="2" t="s">
        <v>146</v>
      </c>
      <c r="F26" s="2" t="s">
        <v>488</v>
      </c>
      <c r="G26" s="2" t="s">
        <v>489</v>
      </c>
      <c r="H26" s="2" t="n">
        <v>1</v>
      </c>
      <c r="I26" s="2" t="n">
        <v>2</v>
      </c>
      <c r="J26" s="2" t="n">
        <v>1</v>
      </c>
      <c r="K26" s="2" t="s">
        <v>612</v>
      </c>
      <c r="L26" s="2" t="s">
        <v>613</v>
      </c>
      <c r="M26" s="2" t="s">
        <v>554</v>
      </c>
      <c r="N26" s="2" t="s">
        <v>612</v>
      </c>
      <c r="O26" s="2" t="n">
        <v>4</v>
      </c>
      <c r="P26" s="2" t="n">
        <v>5</v>
      </c>
      <c r="Q26" s="2" t="n">
        <v>4000</v>
      </c>
      <c r="R26" s="2"/>
      <c r="S26" s="2"/>
      <c r="T26" s="2" t="n">
        <v>43</v>
      </c>
      <c r="U26" s="2" t="str">
        <f aca="false">IF(T26&gt;=70,"High",IF(T26&gt;=40,"Medium","Low"))</f>
        <v>Medium</v>
      </c>
      <c r="V26" s="2" t="s">
        <v>539</v>
      </c>
      <c r="W26" s="2" t="n">
        <v>30</v>
      </c>
      <c r="X26" s="2" t="n">
        <v>40</v>
      </c>
      <c r="Y26" s="2" t="n">
        <f aca="false">ROUND((W26+P26)/X26*100,0)</f>
        <v>88</v>
      </c>
      <c r="Z26" s="2" t="str">
        <f aca="false">IF(Y26&lt;=workload_config!$B$6,"Fits capacity","Exceeds capacity - defer")</f>
        <v>Fits capacity</v>
      </c>
      <c r="AA26" s="2" t="s">
        <v>546</v>
      </c>
      <c r="AB26" s="2" t="s">
        <v>557</v>
      </c>
      <c r="AC26" s="2" t="s">
        <v>541</v>
      </c>
    </row>
    <row r="27" customFormat="false" ht="15" hidden="false" customHeight="false" outlineLevel="0" collapsed="false">
      <c r="A27" s="2" t="s">
        <v>618</v>
      </c>
      <c r="B27" s="2" t="s">
        <v>496</v>
      </c>
      <c r="C27" s="2" t="s">
        <v>161</v>
      </c>
      <c r="D27" s="2" t="s">
        <v>162</v>
      </c>
      <c r="E27" s="2" t="s">
        <v>146</v>
      </c>
      <c r="F27" s="2" t="s">
        <v>488</v>
      </c>
      <c r="G27" s="2" t="s">
        <v>489</v>
      </c>
      <c r="H27" s="2" t="n">
        <v>3</v>
      </c>
      <c r="I27" s="2" t="n">
        <v>4</v>
      </c>
      <c r="J27" s="2" t="n">
        <v>1</v>
      </c>
      <c r="K27" s="2" t="s">
        <v>612</v>
      </c>
      <c r="L27" s="2" t="s">
        <v>613</v>
      </c>
      <c r="M27" s="2" t="s">
        <v>554</v>
      </c>
      <c r="N27" s="2" t="s">
        <v>612</v>
      </c>
      <c r="O27" s="2" t="n">
        <v>4</v>
      </c>
      <c r="P27" s="2" t="n">
        <v>5</v>
      </c>
      <c r="Q27" s="2" t="n">
        <v>4000</v>
      </c>
      <c r="R27" s="2"/>
      <c r="S27" s="2"/>
      <c r="T27" s="2" t="n">
        <v>58</v>
      </c>
      <c r="U27" s="2" t="str">
        <f aca="false">IF(T27&gt;=70,"High",IF(T27&gt;=40,"Medium","Low"))</f>
        <v>Medium</v>
      </c>
      <c r="V27" s="2" t="s">
        <v>614</v>
      </c>
      <c r="W27" s="2" t="n">
        <v>25</v>
      </c>
      <c r="X27" s="2" t="n">
        <v>40</v>
      </c>
      <c r="Y27" s="2" t="n">
        <f aca="false">ROUND((W27+P27)/X27*100,0)</f>
        <v>75</v>
      </c>
      <c r="Z27" s="2" t="str">
        <f aca="false">IF(Y27&lt;=workload_config!$B$6,"Fits capacity","Exceeds capacity - defer")</f>
        <v>Fits capacity</v>
      </c>
      <c r="AA27" s="2" t="s">
        <v>546</v>
      </c>
      <c r="AB27" s="2" t="s">
        <v>557</v>
      </c>
      <c r="AC27" s="2" t="s">
        <v>541</v>
      </c>
    </row>
    <row r="28" customFormat="false" ht="15" hidden="false" customHeight="false" outlineLevel="0" collapsed="false">
      <c r="A28" s="2" t="s">
        <v>619</v>
      </c>
      <c r="B28" s="2" t="s">
        <v>497</v>
      </c>
      <c r="C28" s="2" t="s">
        <v>176</v>
      </c>
      <c r="D28" s="2" t="s">
        <v>177</v>
      </c>
      <c r="E28" s="2" t="s">
        <v>169</v>
      </c>
      <c r="F28" s="2" t="s">
        <v>256</v>
      </c>
      <c r="G28" s="2" t="s">
        <v>257</v>
      </c>
      <c r="H28" s="2" t="n">
        <v>1</v>
      </c>
      <c r="I28" s="2" t="n">
        <v>2</v>
      </c>
      <c r="J28" s="2" t="n">
        <v>1</v>
      </c>
      <c r="K28" s="2" t="s">
        <v>563</v>
      </c>
      <c r="L28" s="2" t="s">
        <v>564</v>
      </c>
      <c r="M28" s="2" t="s">
        <v>554</v>
      </c>
      <c r="N28" s="2" t="s">
        <v>563</v>
      </c>
      <c r="O28" s="2" t="n">
        <v>3</v>
      </c>
      <c r="P28" s="2" t="n">
        <v>4</v>
      </c>
      <c r="Q28" s="2" t="n">
        <v>3000</v>
      </c>
      <c r="R28" s="2"/>
      <c r="S28" s="2"/>
      <c r="T28" s="2" t="n">
        <v>80</v>
      </c>
      <c r="U28" s="2" t="str">
        <f aca="false">IF(T28&gt;=70,"High",IF(T28&gt;=40,"Medium","Low"))</f>
        <v>High</v>
      </c>
      <c r="V28" s="2" t="s">
        <v>539</v>
      </c>
      <c r="W28" s="2" t="n">
        <v>27</v>
      </c>
      <c r="X28" s="2" t="n">
        <v>40</v>
      </c>
      <c r="Y28" s="2" t="n">
        <f aca="false">ROUND((W28+P28)/X28*100,0)</f>
        <v>78</v>
      </c>
      <c r="Z28" s="2" t="str">
        <f aca="false">IF(Y28&lt;=workload_config!$B$6,"Fits capacity","Exceeds capacity - defer")</f>
        <v>Fits capacity</v>
      </c>
      <c r="AA28" s="2" t="s">
        <v>46</v>
      </c>
      <c r="AB28" s="2" t="s">
        <v>540</v>
      </c>
      <c r="AC28" s="2" t="s">
        <v>541</v>
      </c>
    </row>
    <row r="29" customFormat="false" ht="15" hidden="false" customHeight="false" outlineLevel="0" collapsed="false">
      <c r="A29" s="2" t="s">
        <v>620</v>
      </c>
      <c r="B29" s="2" t="s">
        <v>500</v>
      </c>
      <c r="C29" s="2" t="s">
        <v>178</v>
      </c>
      <c r="D29" s="2" t="s">
        <v>179</v>
      </c>
      <c r="E29" s="2" t="s">
        <v>169</v>
      </c>
      <c r="F29" s="2" t="s">
        <v>488</v>
      </c>
      <c r="G29" s="2" t="s">
        <v>489</v>
      </c>
      <c r="H29" s="2" t="n">
        <v>3</v>
      </c>
      <c r="I29" s="2" t="n">
        <v>4</v>
      </c>
      <c r="J29" s="2" t="n">
        <v>1</v>
      </c>
      <c r="K29" s="2" t="s">
        <v>612</v>
      </c>
      <c r="L29" s="2" t="s">
        <v>613</v>
      </c>
      <c r="M29" s="2" t="s">
        <v>554</v>
      </c>
      <c r="N29" s="2" t="s">
        <v>612</v>
      </c>
      <c r="O29" s="2" t="n">
        <v>4</v>
      </c>
      <c r="P29" s="2" t="n">
        <v>5</v>
      </c>
      <c r="Q29" s="2" t="n">
        <v>4000</v>
      </c>
      <c r="R29" s="2"/>
      <c r="S29" s="2"/>
      <c r="T29" s="2" t="n">
        <v>58</v>
      </c>
      <c r="U29" s="2" t="str">
        <f aca="false">IF(T29&gt;=70,"High",IF(T29&gt;=40,"Medium","Low"))</f>
        <v>Medium</v>
      </c>
      <c r="V29" s="2" t="s">
        <v>614</v>
      </c>
      <c r="W29" s="2" t="n">
        <v>30</v>
      </c>
      <c r="X29" s="2" t="n">
        <v>40</v>
      </c>
      <c r="Y29" s="2" t="n">
        <f aca="false">ROUND((W29+P29)/X29*100,0)</f>
        <v>88</v>
      </c>
      <c r="Z29" s="2" t="str">
        <f aca="false">IF(Y29&lt;=workload_config!$B$6,"Fits capacity","Exceeds capacity - defer")</f>
        <v>Fits capacity</v>
      </c>
      <c r="AA29" s="2" t="s">
        <v>546</v>
      </c>
      <c r="AB29" s="2" t="s">
        <v>557</v>
      </c>
      <c r="AC29" s="2" t="s">
        <v>541</v>
      </c>
    </row>
    <row r="30" customFormat="false" ht="15" hidden="false" customHeight="false" outlineLevel="0" collapsed="false">
      <c r="A30" s="2" t="s">
        <v>621</v>
      </c>
      <c r="B30" s="2" t="s">
        <v>501</v>
      </c>
      <c r="C30" s="2" t="s">
        <v>180</v>
      </c>
      <c r="D30" s="2" t="s">
        <v>181</v>
      </c>
      <c r="E30" s="2" t="s">
        <v>169</v>
      </c>
      <c r="F30" s="2" t="s">
        <v>502</v>
      </c>
      <c r="G30" s="2" t="s">
        <v>503</v>
      </c>
      <c r="H30" s="2" t="n">
        <v>1</v>
      </c>
      <c r="I30" s="2" t="n">
        <v>2</v>
      </c>
      <c r="J30" s="2" t="n">
        <v>1</v>
      </c>
      <c r="K30" s="2"/>
      <c r="L30" s="2" t="s">
        <v>543</v>
      </c>
      <c r="M30" s="2" t="s">
        <v>544</v>
      </c>
      <c r="N30" s="2"/>
      <c r="O30" s="2" t="n">
        <v>6</v>
      </c>
      <c r="P30" s="2" t="n">
        <v>2</v>
      </c>
      <c r="Q30" s="2" t="n">
        <v>0</v>
      </c>
      <c r="R30" s="2" t="s">
        <v>174</v>
      </c>
      <c r="S30" s="2" t="s">
        <v>175</v>
      </c>
      <c r="T30" s="2" t="n">
        <v>43</v>
      </c>
      <c r="U30" s="2" t="str">
        <f aca="false">IF(T30&gt;=70,"High",IF(T30&gt;=40,"Medium","Low"))</f>
        <v>Medium</v>
      </c>
      <c r="V30" s="2" t="s">
        <v>622</v>
      </c>
      <c r="W30" s="2" t="n">
        <v>21</v>
      </c>
      <c r="X30" s="2" t="n">
        <v>32</v>
      </c>
      <c r="Y30" s="2" t="n">
        <f aca="false">ROUND((W30+P30)/X30*100,0)</f>
        <v>72</v>
      </c>
      <c r="Z30" s="2" t="str">
        <f aca="false">IF(Y30&lt;=workload_config!$B$6,"Fits capacity","Exceeds capacity - defer")</f>
        <v>Fits capacity</v>
      </c>
      <c r="AA30" s="2" t="s">
        <v>546</v>
      </c>
      <c r="AB30" s="2" t="s">
        <v>547</v>
      </c>
      <c r="AC30" s="2" t="s">
        <v>541</v>
      </c>
    </row>
    <row r="31" customFormat="false" ht="15" hidden="false" customHeight="false" outlineLevel="0" collapsed="false">
      <c r="A31" s="2" t="s">
        <v>623</v>
      </c>
      <c r="B31" s="2" t="s">
        <v>506</v>
      </c>
      <c r="C31" s="2" t="s">
        <v>184</v>
      </c>
      <c r="D31" s="2" t="s">
        <v>185</v>
      </c>
      <c r="E31" s="2" t="s">
        <v>169</v>
      </c>
      <c r="F31" s="2" t="s">
        <v>507</v>
      </c>
      <c r="G31" s="2" t="s">
        <v>508</v>
      </c>
      <c r="H31" s="2" t="n">
        <v>1</v>
      </c>
      <c r="I31" s="2" t="n">
        <v>2</v>
      </c>
      <c r="J31" s="2" t="n">
        <v>1</v>
      </c>
      <c r="K31" s="2" t="s">
        <v>624</v>
      </c>
      <c r="L31" s="2" t="s">
        <v>625</v>
      </c>
      <c r="M31" s="2" t="s">
        <v>554</v>
      </c>
      <c r="N31" s="2" t="s">
        <v>624</v>
      </c>
      <c r="O31" s="2" t="n">
        <v>2</v>
      </c>
      <c r="P31" s="2" t="n">
        <v>3</v>
      </c>
      <c r="Q31" s="2" t="n">
        <v>2500</v>
      </c>
      <c r="R31" s="2"/>
      <c r="S31" s="2"/>
      <c r="T31" s="2" t="n">
        <v>48</v>
      </c>
      <c r="U31" s="2" t="str">
        <f aca="false">IF(T31&gt;=70,"High",IF(T31&gt;=40,"Medium","Low"))</f>
        <v>Medium</v>
      </c>
      <c r="V31" s="2" t="s">
        <v>626</v>
      </c>
      <c r="W31" s="2" t="n">
        <v>25</v>
      </c>
      <c r="X31" s="2" t="n">
        <v>32</v>
      </c>
      <c r="Y31" s="2" t="n">
        <f aca="false">ROUND((W31+P31)/X31*100,0)</f>
        <v>88</v>
      </c>
      <c r="Z31" s="2" t="str">
        <f aca="false">IF(Y31&lt;=workload_config!$B$6,"Fits capacity","Exceeds capacity - defer")</f>
        <v>Fits capacity</v>
      </c>
      <c r="AA31" s="2" t="s">
        <v>546</v>
      </c>
      <c r="AB31" s="2" t="s">
        <v>540</v>
      </c>
      <c r="AC31" s="2" t="s">
        <v>582</v>
      </c>
    </row>
    <row r="32" customFormat="false" ht="15" hidden="false" customHeight="false" outlineLevel="0" collapsed="false">
      <c r="A32" s="2" t="s">
        <v>627</v>
      </c>
      <c r="B32" s="2" t="s">
        <v>511</v>
      </c>
      <c r="C32" s="2" t="s">
        <v>186</v>
      </c>
      <c r="D32" s="2" t="s">
        <v>187</v>
      </c>
      <c r="E32" s="2" t="s">
        <v>169</v>
      </c>
      <c r="F32" s="2" t="s">
        <v>488</v>
      </c>
      <c r="G32" s="2" t="s">
        <v>489</v>
      </c>
      <c r="H32" s="2" t="n">
        <v>1</v>
      </c>
      <c r="I32" s="2" t="n">
        <v>2</v>
      </c>
      <c r="J32" s="2" t="n">
        <v>1</v>
      </c>
      <c r="K32" s="2" t="s">
        <v>612</v>
      </c>
      <c r="L32" s="2" t="s">
        <v>613</v>
      </c>
      <c r="M32" s="2" t="s">
        <v>554</v>
      </c>
      <c r="N32" s="2" t="s">
        <v>612</v>
      </c>
      <c r="O32" s="2" t="n">
        <v>4</v>
      </c>
      <c r="P32" s="2" t="n">
        <v>5</v>
      </c>
      <c r="Q32" s="2" t="n">
        <v>4000</v>
      </c>
      <c r="R32" s="2"/>
      <c r="S32" s="2"/>
      <c r="T32" s="2" t="n">
        <v>43</v>
      </c>
      <c r="U32" s="2" t="str">
        <f aca="false">IF(T32&gt;=70,"High",IF(T32&gt;=40,"Medium","Low"))</f>
        <v>Medium</v>
      </c>
      <c r="V32" s="2" t="s">
        <v>539</v>
      </c>
      <c r="W32" s="2" t="n">
        <v>30</v>
      </c>
      <c r="X32" s="2" t="n">
        <v>40</v>
      </c>
      <c r="Y32" s="2" t="n">
        <f aca="false">ROUND((W32+P32)/X32*100,0)</f>
        <v>88</v>
      </c>
      <c r="Z32" s="2" t="str">
        <f aca="false">IF(Y32&lt;=workload_config!$B$6,"Fits capacity","Exceeds capacity - defer")</f>
        <v>Fits capacity</v>
      </c>
      <c r="AA32" s="2" t="s">
        <v>546</v>
      </c>
      <c r="AB32" s="2" t="s">
        <v>557</v>
      </c>
      <c r="AC32" s="2" t="s">
        <v>541</v>
      </c>
    </row>
    <row r="33" customFormat="false" ht="15" hidden="false" customHeight="false" outlineLevel="0" collapsed="false">
      <c r="A33" s="2" t="s">
        <v>628</v>
      </c>
      <c r="B33" s="2" t="s">
        <v>513</v>
      </c>
      <c r="C33" s="2" t="s">
        <v>188</v>
      </c>
      <c r="D33" s="2" t="s">
        <v>189</v>
      </c>
      <c r="E33" s="2" t="s">
        <v>169</v>
      </c>
      <c r="F33" s="2" t="s">
        <v>248</v>
      </c>
      <c r="G33" s="2" t="s">
        <v>249</v>
      </c>
      <c r="H33" s="2" t="n">
        <v>1</v>
      </c>
      <c r="I33" s="2" t="n">
        <v>2</v>
      </c>
      <c r="J33" s="2" t="n">
        <v>1</v>
      </c>
      <c r="K33" s="2" t="s">
        <v>586</v>
      </c>
      <c r="L33" s="2" t="s">
        <v>587</v>
      </c>
      <c r="M33" s="2" t="s">
        <v>580</v>
      </c>
      <c r="N33" s="2" t="s">
        <v>586</v>
      </c>
      <c r="O33" s="2" t="n">
        <v>5</v>
      </c>
      <c r="P33" s="2" t="n">
        <v>5</v>
      </c>
      <c r="Q33" s="2" t="n">
        <v>7000</v>
      </c>
      <c r="R33" s="2"/>
      <c r="S33" s="2"/>
      <c r="T33" s="2" t="n">
        <v>38</v>
      </c>
      <c r="U33" s="2" t="str">
        <f aca="false">IF(T33&gt;=70,"High",IF(T33&gt;=40,"Medium","Low"))</f>
        <v>Low</v>
      </c>
      <c r="V33" s="2" t="s">
        <v>539</v>
      </c>
      <c r="W33" s="2" t="n">
        <v>25</v>
      </c>
      <c r="X33" s="2" t="n">
        <v>40</v>
      </c>
      <c r="Y33" s="2" t="n">
        <f aca="false">ROUND((W33+P33)/X33*100,0)</f>
        <v>75</v>
      </c>
      <c r="Z33" s="2" t="str">
        <f aca="false">IF(Y33&lt;=workload_config!$B$6,"Fits capacity","Exceeds capacity - defer")</f>
        <v>Fits capacity</v>
      </c>
      <c r="AA33" s="2" t="s">
        <v>556</v>
      </c>
      <c r="AB33" s="2" t="s">
        <v>547</v>
      </c>
      <c r="AC33" s="2" t="s">
        <v>541</v>
      </c>
    </row>
    <row r="34" customFormat="false" ht="15" hidden="false" customHeight="false" outlineLevel="0" collapsed="false">
      <c r="A34" s="2" t="s">
        <v>629</v>
      </c>
      <c r="B34" s="2" t="s">
        <v>515</v>
      </c>
      <c r="C34" s="2" t="s">
        <v>188</v>
      </c>
      <c r="D34" s="2" t="s">
        <v>189</v>
      </c>
      <c r="E34" s="2" t="s">
        <v>169</v>
      </c>
      <c r="F34" s="2" t="s">
        <v>264</v>
      </c>
      <c r="G34" s="2" t="s">
        <v>265</v>
      </c>
      <c r="H34" s="2" t="n">
        <v>1</v>
      </c>
      <c r="I34" s="2" t="n">
        <v>2</v>
      </c>
      <c r="J34" s="2" t="n">
        <v>1</v>
      </c>
      <c r="K34" s="2" t="s">
        <v>630</v>
      </c>
      <c r="L34" s="2" t="s">
        <v>631</v>
      </c>
      <c r="M34" s="2" t="s">
        <v>632</v>
      </c>
      <c r="N34" s="2" t="s">
        <v>630</v>
      </c>
      <c r="O34" s="2" t="n">
        <v>4</v>
      </c>
      <c r="P34" s="2" t="n">
        <v>5</v>
      </c>
      <c r="Q34" s="2" t="n">
        <v>10000</v>
      </c>
      <c r="R34" s="2"/>
      <c r="S34" s="2"/>
      <c r="T34" s="2" t="n">
        <v>80</v>
      </c>
      <c r="U34" s="2" t="str">
        <f aca="false">IF(T34&gt;=70,"High",IF(T34&gt;=40,"Medium","Low"))</f>
        <v>High</v>
      </c>
      <c r="V34" s="2" t="s">
        <v>539</v>
      </c>
      <c r="W34" s="2" t="n">
        <v>25</v>
      </c>
      <c r="X34" s="2" t="n">
        <v>40</v>
      </c>
      <c r="Y34" s="2" t="n">
        <f aca="false">ROUND((W34+P34)/X34*100,0)</f>
        <v>75</v>
      </c>
      <c r="Z34" s="2" t="str">
        <f aca="false">IF(Y34&lt;=workload_config!$B$6,"Fits capacity","Exceeds capacity - defer")</f>
        <v>Fits capacity</v>
      </c>
      <c r="AA34" s="2" t="s">
        <v>46</v>
      </c>
      <c r="AB34" s="2" t="s">
        <v>565</v>
      </c>
      <c r="AC34" s="2" t="s">
        <v>541</v>
      </c>
    </row>
  </sheetData>
  <autoFilter ref="A1:AC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37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0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4" t="s">
        <v>633</v>
      </c>
      <c r="B1" s="4" t="s">
        <v>52</v>
      </c>
      <c r="C1" s="4" t="s">
        <v>53</v>
      </c>
      <c r="D1" s="4" t="s">
        <v>54</v>
      </c>
      <c r="E1" s="4" t="s">
        <v>634</v>
      </c>
      <c r="F1" s="4" t="s">
        <v>635</v>
      </c>
      <c r="G1" s="4" t="s">
        <v>404</v>
      </c>
      <c r="H1" s="4" t="s">
        <v>636</v>
      </c>
      <c r="I1" s="4" t="s">
        <v>637</v>
      </c>
      <c r="J1" s="4" t="s">
        <v>638</v>
      </c>
      <c r="K1" s="4" t="s">
        <v>220</v>
      </c>
      <c r="L1" s="4" t="s">
        <v>639</v>
      </c>
      <c r="M1" s="4" t="s">
        <v>640</v>
      </c>
      <c r="N1" s="4" t="s">
        <v>641</v>
      </c>
      <c r="O1" s="4" t="s">
        <v>642</v>
      </c>
      <c r="P1" s="4" t="s">
        <v>643</v>
      </c>
      <c r="Q1" s="4" t="s">
        <v>644</v>
      </c>
    </row>
    <row r="2" customFormat="false" ht="15" hidden="false" customHeight="false" outlineLevel="0" collapsed="false">
      <c r="A2" s="2" t="s">
        <v>645</v>
      </c>
      <c r="B2" s="2" t="s">
        <v>97</v>
      </c>
      <c r="C2" s="2" t="s">
        <v>98</v>
      </c>
      <c r="D2" s="2" t="s">
        <v>96</v>
      </c>
      <c r="E2" s="2" t="s">
        <v>578</v>
      </c>
      <c r="F2" s="2" t="s">
        <v>579</v>
      </c>
      <c r="G2" s="2" t="s">
        <v>454</v>
      </c>
      <c r="H2" s="2" t="s">
        <v>646</v>
      </c>
      <c r="I2" s="2" t="s">
        <v>194</v>
      </c>
      <c r="J2" s="2" t="s">
        <v>556</v>
      </c>
      <c r="K2" s="2" t="s">
        <v>647</v>
      </c>
      <c r="L2" s="2" t="n">
        <v>50</v>
      </c>
      <c r="M2" s="2"/>
      <c r="N2" s="2" t="n">
        <v>16000</v>
      </c>
      <c r="O2" s="2" t="n">
        <v>0</v>
      </c>
      <c r="P2" s="2"/>
      <c r="Q2" s="2" t="s">
        <v>648</v>
      </c>
    </row>
    <row r="3" customFormat="false" ht="15" hidden="false" customHeight="false" outlineLevel="0" collapsed="false">
      <c r="A3" s="2" t="s">
        <v>649</v>
      </c>
      <c r="B3" s="2" t="s">
        <v>136</v>
      </c>
      <c r="C3" s="2" t="s">
        <v>137</v>
      </c>
      <c r="D3" s="2" t="s">
        <v>119</v>
      </c>
      <c r="E3" s="2" t="s">
        <v>602</v>
      </c>
      <c r="F3" s="2" t="s">
        <v>603</v>
      </c>
      <c r="G3" s="2" t="s">
        <v>479</v>
      </c>
      <c r="H3" s="2" t="s">
        <v>650</v>
      </c>
      <c r="I3" s="2" t="s">
        <v>195</v>
      </c>
      <c r="J3" s="2" t="s">
        <v>546</v>
      </c>
      <c r="K3" s="2" t="s">
        <v>647</v>
      </c>
      <c r="L3" s="2" t="n">
        <v>35</v>
      </c>
      <c r="M3" s="2"/>
      <c r="N3" s="2" t="n">
        <v>9000</v>
      </c>
      <c r="O3" s="2" t="n">
        <v>0</v>
      </c>
      <c r="P3" s="2"/>
      <c r="Q3" s="2" t="s">
        <v>648</v>
      </c>
    </row>
    <row r="4" customFormat="false" ht="15" hidden="false" customHeight="false" outlineLevel="0" collapsed="false">
      <c r="A4" s="2" t="s">
        <v>651</v>
      </c>
      <c r="B4" s="2" t="s">
        <v>184</v>
      </c>
      <c r="C4" s="2" t="s">
        <v>185</v>
      </c>
      <c r="D4" s="2" t="s">
        <v>169</v>
      </c>
      <c r="E4" s="2" t="s">
        <v>624</v>
      </c>
      <c r="F4" s="2" t="s">
        <v>625</v>
      </c>
      <c r="G4" s="2" t="s">
        <v>507</v>
      </c>
      <c r="H4" s="2" t="s">
        <v>650</v>
      </c>
      <c r="I4" s="2" t="s">
        <v>195</v>
      </c>
      <c r="J4" s="2" t="s">
        <v>46</v>
      </c>
      <c r="K4" s="2" t="s">
        <v>647</v>
      </c>
      <c r="L4" s="2" t="n">
        <v>20</v>
      </c>
      <c r="M4" s="2"/>
      <c r="N4" s="2" t="n">
        <v>2500</v>
      </c>
      <c r="O4" s="2" t="n">
        <v>0</v>
      </c>
      <c r="P4" s="2"/>
      <c r="Q4" s="2" t="s">
        <v>648</v>
      </c>
    </row>
    <row r="5" customFormat="false" ht="15" hidden="false" customHeight="false" outlineLevel="0" collapsed="false">
      <c r="A5" s="2" t="s">
        <v>652</v>
      </c>
      <c r="B5" s="2" t="s">
        <v>126</v>
      </c>
      <c r="C5" s="2" t="s">
        <v>127</v>
      </c>
      <c r="D5" s="2" t="s">
        <v>119</v>
      </c>
      <c r="E5" s="2" t="s">
        <v>563</v>
      </c>
      <c r="F5" s="2" t="s">
        <v>564</v>
      </c>
      <c r="G5" s="2" t="s">
        <v>256</v>
      </c>
      <c r="H5" s="2" t="s">
        <v>653</v>
      </c>
      <c r="I5" s="2" t="s">
        <v>654</v>
      </c>
      <c r="J5" s="2" t="s">
        <v>655</v>
      </c>
      <c r="K5" s="2" t="s">
        <v>656</v>
      </c>
      <c r="L5" s="2" t="n">
        <v>100</v>
      </c>
      <c r="M5" s="2" t="n">
        <v>90</v>
      </c>
      <c r="N5" s="2" t="n">
        <v>3000</v>
      </c>
      <c r="O5" s="2" t="n">
        <v>2</v>
      </c>
      <c r="P5" s="2" t="n">
        <v>4</v>
      </c>
      <c r="Q5" s="2" t="s">
        <v>657</v>
      </c>
    </row>
    <row r="6" customFormat="false" ht="15" hidden="false" customHeight="false" outlineLevel="0" collapsed="false">
      <c r="A6" s="2" t="s">
        <v>658</v>
      </c>
      <c r="B6" s="2" t="s">
        <v>70</v>
      </c>
      <c r="C6" s="2" t="s">
        <v>71</v>
      </c>
      <c r="D6" s="2" t="s">
        <v>67</v>
      </c>
      <c r="E6" s="2" t="s">
        <v>536</v>
      </c>
      <c r="F6" s="2" t="s">
        <v>537</v>
      </c>
      <c r="G6" s="2" t="s">
        <v>280</v>
      </c>
      <c r="H6" s="2" t="s">
        <v>659</v>
      </c>
      <c r="I6" s="2" t="s">
        <v>660</v>
      </c>
      <c r="J6" s="2" t="s">
        <v>661</v>
      </c>
      <c r="K6" s="2" t="s">
        <v>656</v>
      </c>
      <c r="L6" s="2" t="n">
        <v>100</v>
      </c>
      <c r="M6" s="2" t="n">
        <v>97</v>
      </c>
      <c r="N6" s="2" t="n">
        <v>14000</v>
      </c>
      <c r="O6" s="2" t="n">
        <v>2</v>
      </c>
      <c r="P6" s="2" t="n">
        <v>4</v>
      </c>
      <c r="Q6" s="2" t="s">
        <v>657</v>
      </c>
    </row>
    <row r="7" customFormat="false" ht="15" hidden="false" customHeight="false" outlineLevel="0" collapsed="false">
      <c r="A7" s="2" t="s">
        <v>662</v>
      </c>
      <c r="B7" s="2" t="s">
        <v>72</v>
      </c>
      <c r="C7" s="2" t="s">
        <v>73</v>
      </c>
      <c r="D7" s="2" t="s">
        <v>67</v>
      </c>
      <c r="E7" s="2" t="s">
        <v>663</v>
      </c>
      <c r="F7" s="2" t="s">
        <v>664</v>
      </c>
      <c r="G7" s="2" t="s">
        <v>665</v>
      </c>
      <c r="H7" s="2" t="s">
        <v>666</v>
      </c>
      <c r="I7" s="2" t="s">
        <v>667</v>
      </c>
      <c r="J7" s="2" t="s">
        <v>668</v>
      </c>
      <c r="K7" s="2" t="s">
        <v>656</v>
      </c>
      <c r="L7" s="2" t="n">
        <v>100</v>
      </c>
      <c r="M7" s="2" t="n">
        <v>78</v>
      </c>
      <c r="N7" s="2" t="n">
        <v>9000</v>
      </c>
      <c r="O7" s="2" t="n">
        <v>1</v>
      </c>
      <c r="P7" s="2" t="n">
        <v>3</v>
      </c>
      <c r="Q7" s="2" t="s">
        <v>648</v>
      </c>
    </row>
    <row r="8" customFormat="false" ht="15" hidden="false" customHeight="false" outlineLevel="0" collapsed="false">
      <c r="A8" s="2" t="s">
        <v>669</v>
      </c>
      <c r="B8" s="2" t="s">
        <v>117</v>
      </c>
      <c r="C8" s="2" t="s">
        <v>118</v>
      </c>
      <c r="D8" s="2" t="s">
        <v>119</v>
      </c>
      <c r="E8" s="2" t="s">
        <v>563</v>
      </c>
      <c r="F8" s="2" t="s">
        <v>564</v>
      </c>
      <c r="G8" s="2" t="s">
        <v>256</v>
      </c>
      <c r="H8" s="2" t="s">
        <v>670</v>
      </c>
      <c r="I8" s="2" t="s">
        <v>671</v>
      </c>
      <c r="J8" s="2" t="s">
        <v>672</v>
      </c>
      <c r="K8" s="2" t="s">
        <v>656</v>
      </c>
      <c r="L8" s="2" t="n">
        <v>100</v>
      </c>
      <c r="M8" s="2" t="n">
        <v>93</v>
      </c>
      <c r="N8" s="2" t="n">
        <v>3000</v>
      </c>
      <c r="O8" s="2" t="n">
        <v>2</v>
      </c>
      <c r="P8" s="2" t="n">
        <v>4</v>
      </c>
      <c r="Q8" s="2" t="s">
        <v>657</v>
      </c>
    </row>
    <row r="9" customFormat="false" ht="15" hidden="false" customHeight="false" outlineLevel="0" collapsed="false">
      <c r="A9" s="2" t="s">
        <v>673</v>
      </c>
      <c r="B9" s="2" t="s">
        <v>138</v>
      </c>
      <c r="C9" s="2" t="s">
        <v>139</v>
      </c>
      <c r="D9" s="2" t="s">
        <v>119</v>
      </c>
      <c r="E9" s="2" t="s">
        <v>563</v>
      </c>
      <c r="F9" s="2" t="s">
        <v>564</v>
      </c>
      <c r="G9" s="2" t="s">
        <v>256</v>
      </c>
      <c r="H9" s="2" t="s">
        <v>674</v>
      </c>
      <c r="I9" s="2" t="s">
        <v>675</v>
      </c>
      <c r="J9" s="2" t="s">
        <v>676</v>
      </c>
      <c r="K9" s="2" t="s">
        <v>656</v>
      </c>
      <c r="L9" s="2" t="n">
        <v>100</v>
      </c>
      <c r="M9" s="2" t="n">
        <v>85</v>
      </c>
      <c r="N9" s="2" t="n">
        <v>3000</v>
      </c>
      <c r="O9" s="2" t="n">
        <v>2</v>
      </c>
      <c r="P9" s="2" t="n">
        <v>4</v>
      </c>
      <c r="Q9" s="2" t="s">
        <v>657</v>
      </c>
    </row>
    <row r="10" customFormat="false" ht="15" hidden="false" customHeight="false" outlineLevel="0" collapsed="false">
      <c r="A10" s="2" t="s">
        <v>677</v>
      </c>
      <c r="B10" s="2" t="s">
        <v>147</v>
      </c>
      <c r="C10" s="2" t="s">
        <v>148</v>
      </c>
      <c r="D10" s="2" t="s">
        <v>146</v>
      </c>
      <c r="E10" s="2" t="s">
        <v>678</v>
      </c>
      <c r="F10" s="2" t="s">
        <v>679</v>
      </c>
      <c r="G10" s="2" t="s">
        <v>680</v>
      </c>
      <c r="H10" s="2" t="s">
        <v>681</v>
      </c>
      <c r="I10" s="2" t="s">
        <v>682</v>
      </c>
      <c r="J10" s="2" t="s">
        <v>683</v>
      </c>
      <c r="K10" s="2" t="s">
        <v>656</v>
      </c>
      <c r="L10" s="2" t="n">
        <v>100</v>
      </c>
      <c r="M10" s="2" t="n">
        <v>95</v>
      </c>
      <c r="N10" s="2" t="n">
        <v>3000</v>
      </c>
      <c r="O10" s="2" t="n">
        <v>1</v>
      </c>
      <c r="P10" s="2" t="n">
        <v>3</v>
      </c>
      <c r="Q10" s="2" t="s">
        <v>648</v>
      </c>
    </row>
    <row r="11" customFormat="false" ht="15" hidden="false" customHeight="false" outlineLevel="0" collapsed="false">
      <c r="A11" s="2" t="s">
        <v>684</v>
      </c>
      <c r="B11" s="2" t="s">
        <v>122</v>
      </c>
      <c r="C11" s="2" t="s">
        <v>123</v>
      </c>
      <c r="D11" s="2" t="s">
        <v>119</v>
      </c>
      <c r="E11" s="2" t="s">
        <v>685</v>
      </c>
      <c r="F11" s="2" t="s">
        <v>686</v>
      </c>
      <c r="G11" s="2" t="s">
        <v>234</v>
      </c>
      <c r="H11" s="2" t="s">
        <v>687</v>
      </c>
      <c r="I11" s="2" t="s">
        <v>688</v>
      </c>
      <c r="J11" s="2" t="s">
        <v>689</v>
      </c>
      <c r="K11" s="2" t="s">
        <v>656</v>
      </c>
      <c r="L11" s="2" t="n">
        <v>100</v>
      </c>
      <c r="M11" s="2" t="n">
        <v>73</v>
      </c>
      <c r="N11" s="2" t="n">
        <v>20000</v>
      </c>
      <c r="O11" s="2" t="n">
        <v>2</v>
      </c>
      <c r="P11" s="2" t="n">
        <v>4</v>
      </c>
      <c r="Q11" s="2" t="s">
        <v>657</v>
      </c>
    </row>
    <row r="12" customFormat="false" ht="15" hidden="false" customHeight="false" outlineLevel="0" collapsed="false">
      <c r="A12" s="2" t="s">
        <v>690</v>
      </c>
      <c r="B12" s="2" t="s">
        <v>111</v>
      </c>
      <c r="C12" s="2" t="s">
        <v>112</v>
      </c>
      <c r="D12" s="2" t="s">
        <v>96</v>
      </c>
      <c r="E12" s="2" t="s">
        <v>691</v>
      </c>
      <c r="F12" s="2" t="s">
        <v>692</v>
      </c>
      <c r="G12" s="2" t="s">
        <v>693</v>
      </c>
      <c r="H12" s="2" t="s">
        <v>694</v>
      </c>
      <c r="I12" s="2" t="s">
        <v>695</v>
      </c>
      <c r="J12" s="2" t="s">
        <v>696</v>
      </c>
      <c r="K12" s="2" t="s">
        <v>656</v>
      </c>
      <c r="L12" s="2" t="n">
        <v>100</v>
      </c>
      <c r="M12" s="2" t="n">
        <v>97</v>
      </c>
      <c r="N12" s="2" t="n">
        <v>3500</v>
      </c>
      <c r="O12" s="2" t="n">
        <v>0</v>
      </c>
      <c r="P12" s="2" t="n">
        <v>2</v>
      </c>
      <c r="Q12" s="2" t="s">
        <v>648</v>
      </c>
    </row>
    <row r="13" customFormat="false" ht="15" hidden="false" customHeight="false" outlineLevel="0" collapsed="false">
      <c r="A13" s="2" t="s">
        <v>697</v>
      </c>
      <c r="B13" s="2" t="s">
        <v>128</v>
      </c>
      <c r="C13" s="2" t="s">
        <v>129</v>
      </c>
      <c r="D13" s="2" t="s">
        <v>119</v>
      </c>
      <c r="E13" s="2" t="s">
        <v>563</v>
      </c>
      <c r="F13" s="2" t="s">
        <v>564</v>
      </c>
      <c r="G13" s="2" t="s">
        <v>256</v>
      </c>
      <c r="H13" s="2" t="s">
        <v>698</v>
      </c>
      <c r="I13" s="2" t="s">
        <v>699</v>
      </c>
      <c r="J13" s="2" t="s">
        <v>674</v>
      </c>
      <c r="K13" s="2" t="s">
        <v>656</v>
      </c>
      <c r="L13" s="2" t="n">
        <v>100</v>
      </c>
      <c r="M13" s="2" t="n">
        <v>78</v>
      </c>
      <c r="N13" s="2" t="n">
        <v>3000</v>
      </c>
      <c r="O13" s="2" t="n">
        <v>2</v>
      </c>
      <c r="P13" s="2" t="n">
        <v>4</v>
      </c>
      <c r="Q13" s="2" t="s">
        <v>648</v>
      </c>
    </row>
    <row r="14" customFormat="false" ht="15" hidden="false" customHeight="false" outlineLevel="0" collapsed="false">
      <c r="A14" s="2" t="s">
        <v>700</v>
      </c>
      <c r="B14" s="2" t="s">
        <v>117</v>
      </c>
      <c r="C14" s="2" t="s">
        <v>118</v>
      </c>
      <c r="D14" s="2" t="s">
        <v>119</v>
      </c>
      <c r="E14" s="2" t="s">
        <v>701</v>
      </c>
      <c r="F14" s="2" t="s">
        <v>702</v>
      </c>
      <c r="G14" s="2" t="s">
        <v>241</v>
      </c>
      <c r="H14" s="2" t="s">
        <v>703</v>
      </c>
      <c r="I14" s="2" t="s">
        <v>704</v>
      </c>
      <c r="J14" s="2" t="s">
        <v>705</v>
      </c>
      <c r="K14" s="2" t="s">
        <v>656</v>
      </c>
      <c r="L14" s="2" t="n">
        <v>100</v>
      </c>
      <c r="M14" s="2" t="n">
        <v>86</v>
      </c>
      <c r="N14" s="2" t="n">
        <v>9000</v>
      </c>
      <c r="O14" s="2" t="n">
        <v>2</v>
      </c>
      <c r="P14" s="2" t="n">
        <v>4</v>
      </c>
      <c r="Q14" s="2" t="s">
        <v>648</v>
      </c>
    </row>
    <row r="15" customFormat="false" ht="15" hidden="false" customHeight="false" outlineLevel="0" collapsed="false">
      <c r="A15" s="2" t="s">
        <v>706</v>
      </c>
      <c r="B15" s="2" t="s">
        <v>65</v>
      </c>
      <c r="C15" s="2" t="s">
        <v>66</v>
      </c>
      <c r="D15" s="2" t="s">
        <v>67</v>
      </c>
      <c r="E15" s="2" t="s">
        <v>701</v>
      </c>
      <c r="F15" s="2" t="s">
        <v>702</v>
      </c>
      <c r="G15" s="2" t="s">
        <v>241</v>
      </c>
      <c r="H15" s="2" t="s">
        <v>707</v>
      </c>
      <c r="I15" s="2" t="s">
        <v>708</v>
      </c>
      <c r="J15" s="2" t="s">
        <v>709</v>
      </c>
      <c r="K15" s="2" t="s">
        <v>656</v>
      </c>
      <c r="L15" s="2" t="n">
        <v>100</v>
      </c>
      <c r="M15" s="2" t="n">
        <v>77</v>
      </c>
      <c r="N15" s="2" t="n">
        <v>9000</v>
      </c>
      <c r="O15" s="2" t="n">
        <v>2</v>
      </c>
      <c r="P15" s="2" t="n">
        <v>4</v>
      </c>
      <c r="Q15" s="2" t="s">
        <v>657</v>
      </c>
    </row>
    <row r="16" customFormat="false" ht="15" hidden="false" customHeight="false" outlineLevel="0" collapsed="false">
      <c r="A16" s="2" t="s">
        <v>710</v>
      </c>
      <c r="B16" s="2" t="s">
        <v>113</v>
      </c>
      <c r="C16" s="2" t="s">
        <v>114</v>
      </c>
      <c r="D16" s="2" t="s">
        <v>96</v>
      </c>
      <c r="E16" s="2" t="s">
        <v>711</v>
      </c>
      <c r="F16" s="2" t="s">
        <v>712</v>
      </c>
      <c r="G16" s="2" t="s">
        <v>713</v>
      </c>
      <c r="H16" s="2" t="s">
        <v>714</v>
      </c>
      <c r="I16" s="2" t="s">
        <v>715</v>
      </c>
      <c r="J16" s="2" t="s">
        <v>654</v>
      </c>
      <c r="K16" s="2" t="s">
        <v>656</v>
      </c>
      <c r="L16" s="2" t="n">
        <v>100</v>
      </c>
      <c r="M16" s="2" t="n">
        <v>79</v>
      </c>
      <c r="N16" s="2" t="n">
        <v>0</v>
      </c>
      <c r="O16" s="2" t="n">
        <v>1</v>
      </c>
      <c r="P16" s="2" t="n">
        <v>3</v>
      </c>
      <c r="Q16" s="2" t="s">
        <v>648</v>
      </c>
    </row>
    <row r="17" customFormat="false" ht="15" hidden="false" customHeight="false" outlineLevel="0" collapsed="false">
      <c r="A17" s="2" t="s">
        <v>716</v>
      </c>
      <c r="B17" s="2" t="s">
        <v>103</v>
      </c>
      <c r="C17" s="2" t="s">
        <v>104</v>
      </c>
      <c r="D17" s="2" t="s">
        <v>96</v>
      </c>
      <c r="E17" s="2" t="s">
        <v>567</v>
      </c>
      <c r="F17" s="2" t="s">
        <v>568</v>
      </c>
      <c r="G17" s="2" t="s">
        <v>444</v>
      </c>
      <c r="H17" s="2" t="s">
        <v>717</v>
      </c>
      <c r="I17" s="2" t="s">
        <v>681</v>
      </c>
      <c r="J17" s="2" t="s">
        <v>718</v>
      </c>
      <c r="K17" s="2" t="s">
        <v>656</v>
      </c>
      <c r="L17" s="2" t="n">
        <v>100</v>
      </c>
      <c r="M17" s="2" t="n">
        <v>97</v>
      </c>
      <c r="N17" s="2" t="n">
        <v>3000</v>
      </c>
      <c r="O17" s="2" t="n">
        <v>1</v>
      </c>
      <c r="P17" s="2" t="n">
        <v>3</v>
      </c>
      <c r="Q17" s="2" t="s">
        <v>719</v>
      </c>
    </row>
    <row r="18" customFormat="false" ht="15" hidden="false" customHeight="false" outlineLevel="0" collapsed="false">
      <c r="A18" s="2" t="s">
        <v>720</v>
      </c>
      <c r="B18" s="2" t="s">
        <v>80</v>
      </c>
      <c r="C18" s="2" t="s">
        <v>81</v>
      </c>
      <c r="D18" s="2" t="s">
        <v>67</v>
      </c>
      <c r="E18" s="2" t="s">
        <v>563</v>
      </c>
      <c r="F18" s="2" t="s">
        <v>564</v>
      </c>
      <c r="G18" s="2" t="s">
        <v>256</v>
      </c>
      <c r="H18" s="2" t="s">
        <v>687</v>
      </c>
      <c r="I18" s="2" t="s">
        <v>688</v>
      </c>
      <c r="J18" s="2" t="s">
        <v>721</v>
      </c>
      <c r="K18" s="2" t="s">
        <v>656</v>
      </c>
      <c r="L18" s="2" t="n">
        <v>100</v>
      </c>
      <c r="M18" s="2" t="n">
        <v>73</v>
      </c>
      <c r="N18" s="2" t="n">
        <v>3000</v>
      </c>
      <c r="O18" s="2" t="n">
        <v>2</v>
      </c>
      <c r="P18" s="2" t="n">
        <v>4</v>
      </c>
      <c r="Q18" s="2" t="s">
        <v>719</v>
      </c>
    </row>
    <row r="19" customFormat="false" ht="15" hidden="false" customHeight="false" outlineLevel="0" collapsed="false">
      <c r="A19" s="2" t="s">
        <v>722</v>
      </c>
      <c r="B19" s="2" t="s">
        <v>97</v>
      </c>
      <c r="C19" s="2" t="s">
        <v>98</v>
      </c>
      <c r="D19" s="2" t="s">
        <v>96</v>
      </c>
      <c r="E19" s="2" t="s">
        <v>723</v>
      </c>
      <c r="F19" s="2" t="s">
        <v>724</v>
      </c>
      <c r="G19" s="2" t="s">
        <v>693</v>
      </c>
      <c r="H19" s="2" t="s">
        <v>668</v>
      </c>
      <c r="I19" s="2" t="s">
        <v>725</v>
      </c>
      <c r="J19" s="2" t="s">
        <v>726</v>
      </c>
      <c r="K19" s="2" t="s">
        <v>656</v>
      </c>
      <c r="L19" s="2" t="n">
        <v>100</v>
      </c>
      <c r="M19" s="2" t="n">
        <v>98</v>
      </c>
      <c r="N19" s="2" t="n">
        <v>12000</v>
      </c>
      <c r="O19" s="2" t="n">
        <v>2</v>
      </c>
      <c r="P19" s="2" t="n">
        <v>4</v>
      </c>
      <c r="Q19" s="2" t="s">
        <v>648</v>
      </c>
    </row>
    <row r="20" customFormat="false" ht="15" hidden="false" customHeight="false" outlineLevel="0" collapsed="false">
      <c r="A20" s="2" t="s">
        <v>727</v>
      </c>
      <c r="B20" s="2" t="s">
        <v>178</v>
      </c>
      <c r="C20" s="2" t="s">
        <v>179</v>
      </c>
      <c r="D20" s="2" t="s">
        <v>169</v>
      </c>
      <c r="E20" s="2" t="s">
        <v>563</v>
      </c>
      <c r="F20" s="2" t="s">
        <v>564</v>
      </c>
      <c r="G20" s="2" t="s">
        <v>256</v>
      </c>
      <c r="H20" s="2" t="s">
        <v>728</v>
      </c>
      <c r="I20" s="2" t="s">
        <v>729</v>
      </c>
      <c r="J20" s="2" t="s">
        <v>730</v>
      </c>
      <c r="K20" s="2" t="s">
        <v>656</v>
      </c>
      <c r="L20" s="2" t="n">
        <v>100</v>
      </c>
      <c r="M20" s="2" t="n">
        <v>96</v>
      </c>
      <c r="N20" s="2" t="n">
        <v>3000</v>
      </c>
      <c r="O20" s="2" t="n">
        <v>2</v>
      </c>
      <c r="P20" s="2" t="n">
        <v>4</v>
      </c>
      <c r="Q20" s="2" t="s">
        <v>648</v>
      </c>
    </row>
    <row r="21" customFormat="false" ht="15" hidden="false" customHeight="false" outlineLevel="0" collapsed="false">
      <c r="A21" s="2" t="s">
        <v>731</v>
      </c>
      <c r="B21" s="2" t="s">
        <v>126</v>
      </c>
      <c r="C21" s="2" t="s">
        <v>127</v>
      </c>
      <c r="D21" s="2" t="s">
        <v>119</v>
      </c>
      <c r="E21" s="2" t="s">
        <v>732</v>
      </c>
      <c r="F21" s="2" t="s">
        <v>733</v>
      </c>
      <c r="G21" s="2" t="s">
        <v>226</v>
      </c>
      <c r="H21" s="2" t="s">
        <v>734</v>
      </c>
      <c r="I21" s="2" t="s">
        <v>735</v>
      </c>
      <c r="J21" s="2" t="s">
        <v>699</v>
      </c>
      <c r="K21" s="2" t="s">
        <v>656</v>
      </c>
      <c r="L21" s="2" t="n">
        <v>100</v>
      </c>
      <c r="M21" s="2" t="n">
        <v>85</v>
      </c>
      <c r="N21" s="2" t="n">
        <v>3500</v>
      </c>
      <c r="O21" s="2" t="n">
        <v>1</v>
      </c>
      <c r="P21" s="2" t="n">
        <v>3</v>
      </c>
      <c r="Q21" s="2" t="s">
        <v>657</v>
      </c>
    </row>
    <row r="22" customFormat="false" ht="15" hidden="false" customHeight="false" outlineLevel="0" collapsed="false">
      <c r="A22" s="2" t="s">
        <v>736</v>
      </c>
      <c r="B22" s="2" t="s">
        <v>94</v>
      </c>
      <c r="C22" s="2" t="s">
        <v>95</v>
      </c>
      <c r="D22" s="2" t="s">
        <v>96</v>
      </c>
      <c r="E22" s="2" t="s">
        <v>552</v>
      </c>
      <c r="F22" s="2" t="s">
        <v>553</v>
      </c>
      <c r="G22" s="2" t="s">
        <v>434</v>
      </c>
      <c r="H22" s="2" t="s">
        <v>737</v>
      </c>
      <c r="I22" s="2" t="s">
        <v>738</v>
      </c>
      <c r="J22" s="2" t="s">
        <v>739</v>
      </c>
      <c r="K22" s="2" t="s">
        <v>656</v>
      </c>
      <c r="L22" s="2" t="n">
        <v>100</v>
      </c>
      <c r="M22" s="2" t="n">
        <v>78</v>
      </c>
      <c r="N22" s="2" t="n">
        <v>3500</v>
      </c>
      <c r="O22" s="2" t="n">
        <v>1</v>
      </c>
      <c r="P22" s="2" t="n">
        <v>3</v>
      </c>
      <c r="Q22" s="2" t="s">
        <v>657</v>
      </c>
    </row>
    <row r="23" customFormat="false" ht="15" hidden="false" customHeight="false" outlineLevel="0" collapsed="false">
      <c r="A23" s="2" t="s">
        <v>740</v>
      </c>
      <c r="B23" s="2" t="s">
        <v>115</v>
      </c>
      <c r="C23" s="2" t="s">
        <v>116</v>
      </c>
      <c r="D23" s="2" t="s">
        <v>96</v>
      </c>
      <c r="E23" s="2" t="s">
        <v>567</v>
      </c>
      <c r="F23" s="2" t="s">
        <v>568</v>
      </c>
      <c r="G23" s="2" t="s">
        <v>444</v>
      </c>
      <c r="H23" s="2" t="s">
        <v>741</v>
      </c>
      <c r="I23" s="2" t="s">
        <v>742</v>
      </c>
      <c r="J23" s="2" t="s">
        <v>743</v>
      </c>
      <c r="K23" s="2" t="s">
        <v>656</v>
      </c>
      <c r="L23" s="2" t="n">
        <v>100</v>
      </c>
      <c r="M23" s="2" t="n">
        <v>77</v>
      </c>
      <c r="N23" s="2" t="n">
        <v>3000</v>
      </c>
      <c r="O23" s="2" t="n">
        <v>1</v>
      </c>
      <c r="P23" s="2" t="n">
        <v>3</v>
      </c>
      <c r="Q23" s="2" t="s">
        <v>657</v>
      </c>
    </row>
    <row r="24" customFormat="false" ht="15" hidden="false" customHeight="false" outlineLevel="0" collapsed="false">
      <c r="A24" s="2" t="s">
        <v>744</v>
      </c>
      <c r="B24" s="2" t="s">
        <v>88</v>
      </c>
      <c r="C24" s="2" t="s">
        <v>89</v>
      </c>
      <c r="D24" s="2" t="s">
        <v>67</v>
      </c>
      <c r="E24" s="2" t="s">
        <v>663</v>
      </c>
      <c r="F24" s="2" t="s">
        <v>664</v>
      </c>
      <c r="G24" s="2" t="s">
        <v>665</v>
      </c>
      <c r="H24" s="2" t="s">
        <v>745</v>
      </c>
      <c r="I24" s="2" t="s">
        <v>746</v>
      </c>
      <c r="J24" s="2" t="s">
        <v>747</v>
      </c>
      <c r="K24" s="2" t="s">
        <v>656</v>
      </c>
      <c r="L24" s="2" t="n">
        <v>100</v>
      </c>
      <c r="M24" s="2" t="n">
        <v>84</v>
      </c>
      <c r="N24" s="2" t="n">
        <v>9000</v>
      </c>
      <c r="O24" s="2" t="n">
        <v>1</v>
      </c>
      <c r="P24" s="2" t="n">
        <v>3</v>
      </c>
      <c r="Q24" s="2" t="s">
        <v>657</v>
      </c>
    </row>
    <row r="25" customFormat="false" ht="15" hidden="false" customHeight="false" outlineLevel="0" collapsed="false">
      <c r="A25" s="2" t="s">
        <v>748</v>
      </c>
      <c r="B25" s="2" t="s">
        <v>94</v>
      </c>
      <c r="C25" s="2" t="s">
        <v>95</v>
      </c>
      <c r="D25" s="2" t="s">
        <v>96</v>
      </c>
      <c r="E25" s="2" t="s">
        <v>590</v>
      </c>
      <c r="F25" s="2" t="s">
        <v>591</v>
      </c>
      <c r="G25" s="2" t="s">
        <v>464</v>
      </c>
      <c r="H25" s="2" t="s">
        <v>749</v>
      </c>
      <c r="I25" s="2" t="s">
        <v>750</v>
      </c>
      <c r="J25" s="2" t="s">
        <v>751</v>
      </c>
      <c r="K25" s="2" t="s">
        <v>656</v>
      </c>
      <c r="L25" s="2" t="n">
        <v>100</v>
      </c>
      <c r="M25" s="2" t="n">
        <v>81</v>
      </c>
      <c r="N25" s="2" t="n">
        <v>11000</v>
      </c>
      <c r="O25" s="2" t="n">
        <v>2</v>
      </c>
      <c r="P25" s="2" t="n">
        <v>4</v>
      </c>
      <c r="Q25" s="2" t="s">
        <v>657</v>
      </c>
    </row>
    <row r="26" customFormat="false" ht="15" hidden="false" customHeight="false" outlineLevel="0" collapsed="false">
      <c r="A26" s="2" t="s">
        <v>752</v>
      </c>
      <c r="B26" s="2" t="s">
        <v>142</v>
      </c>
      <c r="C26" s="2" t="s">
        <v>143</v>
      </c>
      <c r="D26" s="2" t="s">
        <v>119</v>
      </c>
      <c r="E26" s="2" t="s">
        <v>701</v>
      </c>
      <c r="F26" s="2" t="s">
        <v>702</v>
      </c>
      <c r="G26" s="2" t="s">
        <v>241</v>
      </c>
      <c r="H26" s="2" t="s">
        <v>709</v>
      </c>
      <c r="I26" s="2" t="s">
        <v>753</v>
      </c>
      <c r="J26" s="2" t="s">
        <v>754</v>
      </c>
      <c r="K26" s="2" t="s">
        <v>656</v>
      </c>
      <c r="L26" s="2" t="n">
        <v>100</v>
      </c>
      <c r="M26" s="2" t="n">
        <v>93</v>
      </c>
      <c r="N26" s="2" t="n">
        <v>9000</v>
      </c>
      <c r="O26" s="2" t="n">
        <v>2</v>
      </c>
      <c r="P26" s="2" t="n">
        <v>4</v>
      </c>
      <c r="Q26" s="2" t="s">
        <v>719</v>
      </c>
    </row>
    <row r="27" customFormat="false" ht="15" hidden="false" customHeight="false" outlineLevel="0" collapsed="false">
      <c r="A27" s="2" t="s">
        <v>755</v>
      </c>
      <c r="B27" s="2" t="s">
        <v>117</v>
      </c>
      <c r="C27" s="2" t="s">
        <v>118</v>
      </c>
      <c r="D27" s="2" t="s">
        <v>119</v>
      </c>
      <c r="E27" s="2" t="s">
        <v>756</v>
      </c>
      <c r="F27" s="2" t="s">
        <v>757</v>
      </c>
      <c r="G27" s="2" t="s">
        <v>758</v>
      </c>
      <c r="H27" s="2" t="s">
        <v>715</v>
      </c>
      <c r="I27" s="2" t="s">
        <v>759</v>
      </c>
      <c r="J27" s="2" t="s">
        <v>760</v>
      </c>
      <c r="K27" s="2" t="s">
        <v>656</v>
      </c>
      <c r="L27" s="2" t="n">
        <v>100</v>
      </c>
      <c r="M27" s="2" t="n">
        <v>76</v>
      </c>
      <c r="N27" s="2" t="n">
        <v>8000</v>
      </c>
      <c r="O27" s="2" t="n">
        <v>2</v>
      </c>
      <c r="P27" s="2" t="n">
        <v>4</v>
      </c>
      <c r="Q27" s="2" t="s">
        <v>648</v>
      </c>
    </row>
  </sheetData>
  <autoFilter ref="A1:Q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"/>
    <col collapsed="false" customWidth="true" hidden="false" outlineLevel="0" max="5" min="3" style="0" width="48"/>
    <col collapsed="false" customWidth="true" hidden="false" outlineLevel="0" max="6" min="6" style="0" width="15"/>
    <col collapsed="false" customWidth="true" hidden="false" outlineLevel="0" max="7" min="7" style="0" width="27"/>
  </cols>
  <sheetData>
    <row r="1" customFormat="false" ht="15" hidden="false" customHeight="false" outlineLevel="0" collapsed="false">
      <c r="A1" s="4" t="s">
        <v>54</v>
      </c>
      <c r="B1" s="4" t="s">
        <v>761</v>
      </c>
      <c r="C1" s="4" t="s">
        <v>762</v>
      </c>
      <c r="D1" s="4" t="s">
        <v>763</v>
      </c>
      <c r="E1" s="4" t="s">
        <v>764</v>
      </c>
      <c r="F1" s="4" t="s">
        <v>765</v>
      </c>
      <c r="G1" s="4" t="s">
        <v>766</v>
      </c>
    </row>
    <row r="2" customFormat="false" ht="15" hidden="false" customHeight="false" outlineLevel="0" collapsed="false">
      <c r="A2" s="2" t="s">
        <v>67</v>
      </c>
      <c r="B2" s="8" t="n">
        <v>400000</v>
      </c>
      <c r="C2" s="9" t="n">
        <f aca="false">SUMIFS(course_enrollments!$N$2:$N$27,course_enrollments!$D$2:$D$27,A2,course_enrollments!$K$2:$K$27,"completed")</f>
        <v>44000</v>
      </c>
      <c r="D2" s="9" t="n">
        <f aca="false">SUMIFS(course_enrollments!$N$2:$N$27,course_enrollments!$D$2:$D$27,A2,course_enrollments!$K$2:$K$27,"in_progress")</f>
        <v>0</v>
      </c>
      <c r="E2" s="9" t="n">
        <f aca="false">SUMIFS(training_recommendations!$Q$2:$Q$34,training_recommendations!$E$2:$E$34,A2,training_recommendations!$AC$2:$AC$34,"recommended")</f>
        <v>27500</v>
      </c>
      <c r="F2" s="9" t="n">
        <f aca="false">B2-C2-D2-E2</f>
        <v>328500</v>
      </c>
      <c r="G2" s="7" t="n">
        <f aca="false">IF(B2=0,0,(C2+D2+E2)/B2)</f>
        <v>0.17875</v>
      </c>
    </row>
    <row r="3" customFormat="false" ht="15" hidden="false" customHeight="false" outlineLevel="0" collapsed="false">
      <c r="A3" s="2" t="s">
        <v>96</v>
      </c>
      <c r="B3" s="8" t="n">
        <v>500000</v>
      </c>
      <c r="C3" s="9" t="n">
        <f aca="false">SUMIFS(course_enrollments!$N$2:$N$27,course_enrollments!$D$2:$D$27,A3,course_enrollments!$K$2:$K$27,"completed")</f>
        <v>36000</v>
      </c>
      <c r="D3" s="9" t="n">
        <f aca="false">SUMIFS(course_enrollments!$N$2:$N$27,course_enrollments!$D$2:$D$27,A3,course_enrollments!$K$2:$K$27,"in_progress")</f>
        <v>16000</v>
      </c>
      <c r="E3" s="9" t="n">
        <f aca="false">SUMIFS(training_recommendations!$Q$2:$Q$34,training_recommendations!$E$2:$E$34,A3,training_recommendations!$AC$2:$AC$34,"recommended")</f>
        <v>93000</v>
      </c>
      <c r="F3" s="9" t="n">
        <f aca="false">B3-C3-D3-E3</f>
        <v>355000</v>
      </c>
      <c r="G3" s="7" t="n">
        <f aca="false">IF(B3=0,0,(C3+D3+E3)/B3)</f>
        <v>0.29</v>
      </c>
    </row>
    <row r="4" customFormat="false" ht="15" hidden="false" customHeight="false" outlineLevel="0" collapsed="false">
      <c r="A4" s="2" t="s">
        <v>119</v>
      </c>
      <c r="B4" s="8" t="n">
        <v>600000</v>
      </c>
      <c r="C4" s="9" t="n">
        <f aca="false">SUMIFS(course_enrollments!$N$2:$N$27,course_enrollments!$D$2:$D$27,A4,course_enrollments!$K$2:$K$27,"completed")</f>
        <v>61500</v>
      </c>
      <c r="D4" s="9" t="n">
        <f aca="false">SUMIFS(course_enrollments!$N$2:$N$27,course_enrollments!$D$2:$D$27,A4,course_enrollments!$K$2:$K$27,"in_progress")</f>
        <v>9000</v>
      </c>
      <c r="E4" s="9" t="n">
        <f aca="false">SUMIFS(training_recommendations!$Q$2:$Q$34,training_recommendations!$E$2:$E$34,A4,training_recommendations!$AC$2:$AC$34,"recommended")</f>
        <v>64000</v>
      </c>
      <c r="F4" s="9" t="n">
        <f aca="false">B4-C4-D4-E4</f>
        <v>465500</v>
      </c>
      <c r="G4" s="7" t="n">
        <f aca="false">IF(B4=0,0,(C4+D4+E4)/B4)</f>
        <v>0.224166666666667</v>
      </c>
    </row>
    <row r="5" customFormat="false" ht="15" hidden="false" customHeight="false" outlineLevel="0" collapsed="false">
      <c r="A5" s="2" t="s">
        <v>169</v>
      </c>
      <c r="B5" s="8" t="n">
        <v>250000</v>
      </c>
      <c r="C5" s="9" t="n">
        <f aca="false">SUMIFS(course_enrollments!$N$2:$N$27,course_enrollments!$D$2:$D$27,A5,course_enrollments!$K$2:$K$27,"completed")</f>
        <v>3000</v>
      </c>
      <c r="D5" s="9" t="n">
        <f aca="false">SUMIFS(course_enrollments!$N$2:$N$27,course_enrollments!$D$2:$D$27,A5,course_enrollments!$K$2:$K$27,"in_progress")</f>
        <v>2500</v>
      </c>
      <c r="E5" s="9" t="n">
        <f aca="false">SUMIFS(training_recommendations!$Q$2:$Q$34,training_recommendations!$E$2:$E$34,A5,training_recommendations!$AC$2:$AC$34,"recommended")</f>
        <v>28000</v>
      </c>
      <c r="F5" s="9" t="n">
        <f aca="false">B5-C5-D5-E5</f>
        <v>216500</v>
      </c>
      <c r="G5" s="7" t="n">
        <f aca="false">IF(B5=0,0,(C5+D5+E5)/B5)</f>
        <v>0.134</v>
      </c>
    </row>
    <row r="6" customFormat="false" ht="15" hidden="false" customHeight="false" outlineLevel="0" collapsed="false">
      <c r="A6" s="2" t="s">
        <v>146</v>
      </c>
      <c r="B6" s="8" t="n">
        <v>350000</v>
      </c>
      <c r="C6" s="9" t="n">
        <f aca="false">SUMIFS(course_enrollments!$N$2:$N$27,course_enrollments!$D$2:$D$27,A6,course_enrollments!$K$2:$K$27,"completed")</f>
        <v>3000</v>
      </c>
      <c r="D6" s="9" t="n">
        <f aca="false">SUMIFS(course_enrollments!$N$2:$N$27,course_enrollments!$D$2:$D$27,A6,course_enrollments!$K$2:$K$27,"in_progress")</f>
        <v>0</v>
      </c>
      <c r="E6" s="9" t="n">
        <f aca="false">SUMIFS(training_recommendations!$Q$2:$Q$34,training_recommendations!$E$2:$E$34,A6,training_recommendations!$AC$2:$AC$34,"recommended")</f>
        <v>12000</v>
      </c>
      <c r="F6" s="9" t="n">
        <f aca="false">B6-C6-D6-E6</f>
        <v>335000</v>
      </c>
      <c r="G6" s="7" t="n">
        <f aca="false">IF(B6=0,0,(C6+D6+E6)/B6)</f>
        <v>0.0428571428571429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8" min="7" style="0" width="21"/>
    <col collapsed="false" customWidth="true" hidden="false" outlineLevel="0" max="9" min="9" style="0" width="26"/>
    <col collapsed="false" customWidth="true" hidden="false" outlineLevel="0" max="10" min="10" style="0" width="28"/>
    <col collapsed="false" customWidth="true" hidden="false" outlineLevel="0" max="11" min="11" style="0" width="48"/>
  </cols>
  <sheetData>
    <row r="1" customFormat="false" ht="15" hidden="false" customHeight="false" outlineLevel="0" collapsed="false">
      <c r="A1" s="4" t="s">
        <v>404</v>
      </c>
      <c r="B1" s="4" t="s">
        <v>405</v>
      </c>
      <c r="C1" s="4" t="s">
        <v>767</v>
      </c>
      <c r="D1" s="4" t="s">
        <v>768</v>
      </c>
      <c r="E1" s="4" t="s">
        <v>769</v>
      </c>
      <c r="F1" s="4" t="s">
        <v>770</v>
      </c>
      <c r="G1" s="4" t="s">
        <v>771</v>
      </c>
      <c r="H1" s="4" t="s">
        <v>772</v>
      </c>
      <c r="I1" s="4" t="s">
        <v>773</v>
      </c>
      <c r="J1" s="4" t="s">
        <v>774</v>
      </c>
      <c r="K1" s="4" t="s">
        <v>775</v>
      </c>
    </row>
    <row r="2" customFormat="false" ht="15" hidden="false" customHeight="false" outlineLevel="0" collapsed="false">
      <c r="A2" s="2" t="s">
        <v>248</v>
      </c>
      <c r="B2" s="2" t="s">
        <v>249</v>
      </c>
      <c r="C2" s="2" t="s">
        <v>461</v>
      </c>
      <c r="D2" s="2" t="s">
        <v>776</v>
      </c>
      <c r="E2" s="2" t="n">
        <v>4</v>
      </c>
      <c r="F2" s="2" t="n">
        <v>1</v>
      </c>
      <c r="G2" s="2" t="n">
        <v>11</v>
      </c>
      <c r="H2" s="2" t="n">
        <v>7</v>
      </c>
      <c r="I2" s="2" t="n">
        <v>24</v>
      </c>
      <c r="J2" s="2" t="n">
        <v>0</v>
      </c>
      <c r="K2" s="2" t="str">
        <f aca="false">IF(H2=0,"Critical gap",IF(H2&lt;3,"Thin bench","OK"))</f>
        <v>OK</v>
      </c>
    </row>
    <row r="3" customFormat="false" ht="15" hidden="false" customHeight="false" outlineLevel="0" collapsed="false">
      <c r="A3" s="2" t="s">
        <v>777</v>
      </c>
      <c r="B3" s="2" t="s">
        <v>778</v>
      </c>
      <c r="C3" s="2" t="s">
        <v>461</v>
      </c>
      <c r="D3" s="2" t="s">
        <v>255</v>
      </c>
      <c r="E3" s="2" t="n">
        <v>3</v>
      </c>
      <c r="F3" s="2" t="n">
        <v>0</v>
      </c>
      <c r="G3" s="2" t="n">
        <v>1</v>
      </c>
      <c r="H3" s="2" t="n">
        <v>1</v>
      </c>
      <c r="I3" s="2" t="n">
        <v>3</v>
      </c>
      <c r="J3" s="2" t="n">
        <v>1</v>
      </c>
      <c r="K3" s="2" t="str">
        <f aca="false">IF(H3=0,"Critical gap",IF(H3&lt;3,"Thin bench","OK"))</f>
        <v>Thin bench</v>
      </c>
    </row>
    <row r="4" customFormat="false" ht="15" hidden="false" customHeight="false" outlineLevel="0" collapsed="false">
      <c r="A4" s="2" t="s">
        <v>488</v>
      </c>
      <c r="B4" s="2" t="s">
        <v>489</v>
      </c>
      <c r="C4" s="2" t="s">
        <v>490</v>
      </c>
      <c r="D4" s="2" t="s">
        <v>779</v>
      </c>
      <c r="E4" s="2" t="n">
        <v>4</v>
      </c>
      <c r="F4" s="2" t="n">
        <v>1</v>
      </c>
      <c r="G4" s="2" t="n">
        <v>1</v>
      </c>
      <c r="H4" s="2" t="n">
        <v>1</v>
      </c>
      <c r="I4" s="2" t="n">
        <v>9</v>
      </c>
      <c r="J4" s="2" t="n">
        <v>0</v>
      </c>
      <c r="K4" s="2" t="str">
        <f aca="false">IF(H4=0,"Critical gap",IF(H4&lt;3,"Thin bench","OK"))</f>
        <v>Thin bench</v>
      </c>
    </row>
    <row r="5" customFormat="false" ht="15" hidden="false" customHeight="false" outlineLevel="0" collapsed="false">
      <c r="A5" s="2" t="s">
        <v>264</v>
      </c>
      <c r="B5" s="2" t="s">
        <v>265</v>
      </c>
      <c r="C5" s="2" t="s">
        <v>67</v>
      </c>
      <c r="D5" s="2" t="s">
        <v>481</v>
      </c>
      <c r="E5" s="2" t="n">
        <v>3</v>
      </c>
      <c r="F5" s="2" t="n">
        <v>0</v>
      </c>
      <c r="G5" s="2" t="n">
        <v>8</v>
      </c>
      <c r="H5" s="2" t="n">
        <v>6</v>
      </c>
      <c r="I5" s="2" t="n">
        <v>18</v>
      </c>
      <c r="J5" s="2" t="n">
        <v>2</v>
      </c>
      <c r="K5" s="2" t="str">
        <f aca="false">IF(H5=0,"Critical gap",IF(H5&lt;3,"Thin bench","OK"))</f>
        <v>OK</v>
      </c>
    </row>
    <row r="6" customFormat="false" ht="15" hidden="false" customHeight="false" outlineLevel="0" collapsed="false">
      <c r="A6" s="2" t="s">
        <v>780</v>
      </c>
      <c r="B6" s="2" t="s">
        <v>781</v>
      </c>
      <c r="C6" s="2" t="s">
        <v>67</v>
      </c>
      <c r="D6" s="2" t="s">
        <v>224</v>
      </c>
      <c r="E6" s="2" t="n">
        <v>3</v>
      </c>
      <c r="F6" s="2" t="n">
        <v>0</v>
      </c>
      <c r="G6" s="2" t="n">
        <v>11</v>
      </c>
      <c r="H6" s="2" t="n">
        <v>7</v>
      </c>
      <c r="I6" s="2" t="n">
        <v>29</v>
      </c>
      <c r="J6" s="2" t="n">
        <v>4</v>
      </c>
      <c r="K6" s="2" t="str">
        <f aca="false">IF(H6=0,"Critical gap",IF(H6&lt;3,"Thin bench","OK"))</f>
        <v>OK</v>
      </c>
    </row>
    <row r="7" customFormat="false" ht="15" hidden="false" customHeight="false" outlineLevel="0" collapsed="false">
      <c r="A7" s="2" t="s">
        <v>438</v>
      </c>
      <c r="B7" s="2" t="s">
        <v>439</v>
      </c>
      <c r="C7" s="2" t="s">
        <v>67</v>
      </c>
      <c r="D7" s="2" t="s">
        <v>255</v>
      </c>
      <c r="E7" s="2" t="n">
        <v>3</v>
      </c>
      <c r="F7" s="2" t="n">
        <v>0</v>
      </c>
      <c r="G7" s="2" t="n">
        <v>1</v>
      </c>
      <c r="H7" s="2" t="n">
        <v>0</v>
      </c>
      <c r="I7" s="2" t="n">
        <v>19</v>
      </c>
      <c r="J7" s="2" t="n">
        <v>1</v>
      </c>
      <c r="K7" s="2" t="str">
        <f aca="false">IF(H7=0,"Critical gap",IF(H7&lt;3,"Thin bench","OK"))</f>
        <v>Critical gap</v>
      </c>
    </row>
    <row r="8" customFormat="false" ht="15" hidden="false" customHeight="false" outlineLevel="0" collapsed="false">
      <c r="A8" s="2" t="s">
        <v>427</v>
      </c>
      <c r="B8" s="2" t="s">
        <v>428</v>
      </c>
      <c r="C8" s="2" t="s">
        <v>67</v>
      </c>
      <c r="D8" s="2" t="s">
        <v>262</v>
      </c>
      <c r="E8" s="2" t="n">
        <v>3</v>
      </c>
      <c r="F8" s="2" t="n">
        <v>0</v>
      </c>
      <c r="G8" s="2" t="n">
        <v>13</v>
      </c>
      <c r="H8" s="2" t="n">
        <v>9</v>
      </c>
      <c r="I8" s="2" t="n">
        <v>9</v>
      </c>
      <c r="J8" s="2" t="n">
        <v>2</v>
      </c>
      <c r="K8" s="2" t="str">
        <f aca="false">IF(H8=0,"Critical gap",IF(H8&lt;3,"Thin bench","OK"))</f>
        <v>OK</v>
      </c>
    </row>
    <row r="9" customFormat="false" ht="15" hidden="false" customHeight="false" outlineLevel="0" collapsed="false">
      <c r="A9" s="2" t="s">
        <v>256</v>
      </c>
      <c r="B9" s="2" t="s">
        <v>257</v>
      </c>
      <c r="C9" s="2" t="s">
        <v>424</v>
      </c>
      <c r="D9" s="2" t="s">
        <v>782</v>
      </c>
      <c r="E9" s="2" t="n">
        <v>4</v>
      </c>
      <c r="F9" s="2" t="n">
        <v>1</v>
      </c>
      <c r="G9" s="2" t="n">
        <v>14</v>
      </c>
      <c r="H9" s="2" t="n">
        <v>10</v>
      </c>
      <c r="I9" s="2" t="n">
        <v>14</v>
      </c>
      <c r="J9" s="2" t="n">
        <v>0</v>
      </c>
      <c r="K9" s="2" t="str">
        <f aca="false">IF(H9=0,"Critical gap",IF(H9&lt;3,"Thin bench","OK"))</f>
        <v>OK</v>
      </c>
    </row>
    <row r="10" customFormat="false" ht="15" hidden="false" customHeight="false" outlineLevel="0" collapsed="false">
      <c r="A10" s="2" t="s">
        <v>422</v>
      </c>
      <c r="B10" s="2" t="s">
        <v>423</v>
      </c>
      <c r="C10" s="2" t="s">
        <v>424</v>
      </c>
      <c r="D10" s="2" t="s">
        <v>255</v>
      </c>
      <c r="E10" s="2" t="n">
        <v>3</v>
      </c>
      <c r="F10" s="2" t="n">
        <v>0</v>
      </c>
      <c r="G10" s="2" t="n">
        <v>17</v>
      </c>
      <c r="H10" s="2" t="n">
        <v>12</v>
      </c>
      <c r="I10" s="2" t="n">
        <v>13</v>
      </c>
      <c r="J10" s="2" t="n">
        <v>1</v>
      </c>
      <c r="K10" s="2" t="str">
        <f aca="false">IF(H10=0,"Critical gap",IF(H10&lt;3,"Thin bench","OK"))</f>
        <v>OK</v>
      </c>
    </row>
    <row r="11" customFormat="false" ht="15" hidden="false" customHeight="false" outlineLevel="0" collapsed="false">
      <c r="A11" s="2" t="s">
        <v>783</v>
      </c>
      <c r="B11" s="2" t="s">
        <v>784</v>
      </c>
      <c r="C11" s="2" t="s">
        <v>466</v>
      </c>
      <c r="D11" s="2" t="s">
        <v>785</v>
      </c>
      <c r="E11" s="2" t="n">
        <v>3</v>
      </c>
      <c r="F11" s="2" t="n">
        <v>1</v>
      </c>
      <c r="G11" s="2" t="n">
        <v>8</v>
      </c>
      <c r="H11" s="2" t="n">
        <v>6</v>
      </c>
      <c r="I11" s="2" t="n">
        <v>12</v>
      </c>
      <c r="J11" s="2" t="n">
        <v>2</v>
      </c>
      <c r="K11" s="2" t="str">
        <f aca="false">IF(H11=0,"Critical gap",IF(H11&lt;3,"Thin bench","OK"))</f>
        <v>OK</v>
      </c>
    </row>
    <row r="12" customFormat="false" ht="15" hidden="false" customHeight="false" outlineLevel="0" collapsed="false">
      <c r="A12" s="2" t="s">
        <v>464</v>
      </c>
      <c r="B12" s="2" t="s">
        <v>465</v>
      </c>
      <c r="C12" s="2" t="s">
        <v>466</v>
      </c>
      <c r="D12" s="2" t="s">
        <v>432</v>
      </c>
      <c r="E12" s="2" t="n">
        <v>4</v>
      </c>
      <c r="F12" s="2" t="n">
        <v>1</v>
      </c>
      <c r="G12" s="2" t="n">
        <v>6</v>
      </c>
      <c r="H12" s="2" t="n">
        <v>4</v>
      </c>
      <c r="I12" s="2" t="n">
        <v>8</v>
      </c>
      <c r="J12" s="2" t="n">
        <v>1</v>
      </c>
      <c r="K12" s="2" t="str">
        <f aca="false">IF(H12=0,"Critical gap",IF(H12&lt;3,"Thin bench","OK"))</f>
        <v>OK</v>
      </c>
    </row>
    <row r="13" customFormat="false" ht="15" hidden="false" customHeight="false" outlineLevel="0" collapsed="false">
      <c r="A13" s="2" t="s">
        <v>786</v>
      </c>
      <c r="B13" s="2" t="s">
        <v>787</v>
      </c>
      <c r="C13" s="2" t="s">
        <v>466</v>
      </c>
      <c r="D13" s="2" t="s">
        <v>240</v>
      </c>
      <c r="E13" s="2" t="n">
        <v>3</v>
      </c>
      <c r="F13" s="2" t="n">
        <v>0</v>
      </c>
      <c r="G13" s="2" t="n">
        <v>6</v>
      </c>
      <c r="H13" s="2" t="n">
        <v>4</v>
      </c>
      <c r="I13" s="2" t="n">
        <v>15</v>
      </c>
      <c r="J13" s="2" t="n">
        <v>2</v>
      </c>
      <c r="K13" s="2" t="str">
        <f aca="false">IF(H13=0,"Critical gap",IF(H13&lt;3,"Thin bench","OK"))</f>
        <v>OK</v>
      </c>
    </row>
    <row r="14" customFormat="false" ht="15" hidden="false" customHeight="false" outlineLevel="0" collapsed="false">
      <c r="A14" s="2" t="s">
        <v>444</v>
      </c>
      <c r="B14" s="2" t="s">
        <v>445</v>
      </c>
      <c r="C14" s="2" t="s">
        <v>417</v>
      </c>
      <c r="D14" s="2" t="s">
        <v>788</v>
      </c>
      <c r="E14" s="2" t="n">
        <v>3</v>
      </c>
      <c r="F14" s="2" t="n">
        <v>0</v>
      </c>
      <c r="G14" s="2" t="n">
        <v>13</v>
      </c>
      <c r="H14" s="2" t="n">
        <v>9</v>
      </c>
      <c r="I14" s="2" t="n">
        <v>6</v>
      </c>
      <c r="J14" s="2" t="n">
        <v>0</v>
      </c>
      <c r="K14" s="2" t="str">
        <f aca="false">IF(H14=0,"Critical gap",IF(H14&lt;3,"Thin bench","OK"))</f>
        <v>OK</v>
      </c>
    </row>
    <row r="15" customFormat="false" ht="15" hidden="false" customHeight="false" outlineLevel="0" collapsed="false">
      <c r="A15" s="2" t="s">
        <v>448</v>
      </c>
      <c r="B15" s="2" t="s">
        <v>449</v>
      </c>
      <c r="C15" s="2" t="s">
        <v>417</v>
      </c>
      <c r="D15" s="2" t="s">
        <v>451</v>
      </c>
      <c r="E15" s="2" t="n">
        <v>4</v>
      </c>
      <c r="F15" s="2" t="n">
        <v>1</v>
      </c>
      <c r="G15" s="2" t="n">
        <v>0</v>
      </c>
      <c r="H15" s="2" t="n">
        <v>0</v>
      </c>
      <c r="I15" s="2" t="n">
        <v>5</v>
      </c>
      <c r="J15" s="2" t="n">
        <v>5</v>
      </c>
      <c r="K15" s="2" t="str">
        <f aca="false">IF(H15=0,"Critical gap",IF(H15&lt;3,"Thin bench","OK"))</f>
        <v>Critical gap</v>
      </c>
    </row>
    <row r="16" customFormat="false" ht="15" hidden="false" customHeight="false" outlineLevel="0" collapsed="false">
      <c r="A16" s="2" t="s">
        <v>693</v>
      </c>
      <c r="B16" s="2" t="s">
        <v>789</v>
      </c>
      <c r="C16" s="2" t="s">
        <v>417</v>
      </c>
      <c r="D16" s="2" t="s">
        <v>432</v>
      </c>
      <c r="E16" s="2" t="n">
        <v>3</v>
      </c>
      <c r="F16" s="2" t="n">
        <v>0</v>
      </c>
      <c r="G16" s="2" t="n">
        <v>4</v>
      </c>
      <c r="H16" s="2" t="n">
        <v>3</v>
      </c>
      <c r="I16" s="2" t="n">
        <v>5</v>
      </c>
      <c r="J16" s="2" t="n">
        <v>1</v>
      </c>
      <c r="K16" s="2" t="str">
        <f aca="false">IF(H16=0,"Critical gap",IF(H16&lt;3,"Thin bench","OK"))</f>
        <v>OK</v>
      </c>
    </row>
    <row r="17" customFormat="false" ht="15" hidden="false" customHeight="false" outlineLevel="0" collapsed="false">
      <c r="A17" s="2" t="s">
        <v>434</v>
      </c>
      <c r="B17" s="2" t="s">
        <v>435</v>
      </c>
      <c r="C17" s="2" t="s">
        <v>417</v>
      </c>
      <c r="D17" s="2" t="s">
        <v>790</v>
      </c>
      <c r="E17" s="2" t="n">
        <v>3</v>
      </c>
      <c r="F17" s="2" t="n">
        <v>0</v>
      </c>
      <c r="G17" s="2" t="n">
        <v>8</v>
      </c>
      <c r="H17" s="2" t="n">
        <v>6</v>
      </c>
      <c r="I17" s="2" t="n">
        <v>9</v>
      </c>
      <c r="J17" s="2" t="n">
        <v>0</v>
      </c>
      <c r="K17" s="2" t="str">
        <f aca="false">IF(H17=0,"Critical gap",IF(H17&lt;3,"Thin bench","OK"))</f>
        <v>OK</v>
      </c>
    </row>
    <row r="18" customFormat="false" ht="15" hidden="false" customHeight="false" outlineLevel="0" collapsed="false">
      <c r="A18" s="2" t="s">
        <v>280</v>
      </c>
      <c r="B18" s="2" t="s">
        <v>281</v>
      </c>
      <c r="C18" s="2" t="s">
        <v>417</v>
      </c>
      <c r="D18" s="2" t="s">
        <v>432</v>
      </c>
      <c r="E18" s="2" t="n">
        <v>3</v>
      </c>
      <c r="F18" s="2" t="n">
        <v>0</v>
      </c>
      <c r="G18" s="2" t="n">
        <v>8</v>
      </c>
      <c r="H18" s="2" t="n">
        <v>5</v>
      </c>
      <c r="I18" s="2" t="n">
        <v>6</v>
      </c>
      <c r="J18" s="2" t="n">
        <v>1</v>
      </c>
      <c r="K18" s="2" t="str">
        <f aca="false">IF(H18=0,"Critical gap",IF(H18&lt;3,"Thin bench","OK"))</f>
        <v>OK</v>
      </c>
    </row>
    <row r="19" customFormat="false" ht="15" hidden="false" customHeight="false" outlineLevel="0" collapsed="false">
      <c r="A19" s="2" t="s">
        <v>241</v>
      </c>
      <c r="B19" s="2" t="s">
        <v>242</v>
      </c>
      <c r="C19" s="2" t="s">
        <v>472</v>
      </c>
      <c r="D19" s="2" t="s">
        <v>791</v>
      </c>
      <c r="E19" s="2" t="n">
        <v>3</v>
      </c>
      <c r="F19" s="2" t="n">
        <v>0</v>
      </c>
      <c r="G19" s="2" t="n">
        <v>11</v>
      </c>
      <c r="H19" s="2" t="n">
        <v>8</v>
      </c>
      <c r="I19" s="2" t="n">
        <v>18</v>
      </c>
      <c r="J19" s="2" t="n">
        <v>1</v>
      </c>
      <c r="K19" s="2" t="str">
        <f aca="false">IF(H19=0,"Critical gap",IF(H19&lt;3,"Thin bench","OK"))</f>
        <v>OK</v>
      </c>
    </row>
    <row r="20" customFormat="false" ht="15" hidden="false" customHeight="false" outlineLevel="0" collapsed="false">
      <c r="A20" s="2" t="s">
        <v>470</v>
      </c>
      <c r="B20" s="2" t="s">
        <v>471</v>
      </c>
      <c r="C20" s="2" t="s">
        <v>472</v>
      </c>
      <c r="D20" s="2" t="s">
        <v>286</v>
      </c>
      <c r="E20" s="2" t="n">
        <v>3</v>
      </c>
      <c r="F20" s="2" t="n">
        <v>0</v>
      </c>
      <c r="G20" s="2" t="n">
        <v>9</v>
      </c>
      <c r="H20" s="2" t="n">
        <v>6</v>
      </c>
      <c r="I20" s="2" t="n">
        <v>21</v>
      </c>
      <c r="J20" s="2" t="n">
        <v>3</v>
      </c>
      <c r="K20" s="2" t="str">
        <f aca="false">IF(H20=0,"Critical gap",IF(H20&lt;3,"Thin bench","OK"))</f>
        <v>OK</v>
      </c>
    </row>
    <row r="21" customFormat="false" ht="15" hidden="false" customHeight="false" outlineLevel="0" collapsed="false">
      <c r="A21" s="2" t="s">
        <v>792</v>
      </c>
      <c r="B21" s="2" t="s">
        <v>793</v>
      </c>
      <c r="C21" s="2" t="s">
        <v>472</v>
      </c>
      <c r="D21" s="2" t="s">
        <v>510</v>
      </c>
      <c r="E21" s="2" t="n">
        <v>3</v>
      </c>
      <c r="F21" s="2" t="n">
        <v>0</v>
      </c>
      <c r="G21" s="2" t="n">
        <v>8</v>
      </c>
      <c r="H21" s="2" t="n">
        <v>5</v>
      </c>
      <c r="I21" s="2" t="n">
        <v>6</v>
      </c>
      <c r="J21" s="2" t="n">
        <v>0</v>
      </c>
      <c r="K21" s="2" t="str">
        <f aca="false">IF(H21=0,"Critical gap",IF(H21&lt;3,"Thin bench","OK"))</f>
        <v>OK</v>
      </c>
    </row>
    <row r="22" customFormat="false" ht="15" hidden="false" customHeight="false" outlineLevel="0" collapsed="false">
      <c r="A22" s="2" t="s">
        <v>234</v>
      </c>
      <c r="B22" s="2" t="s">
        <v>235</v>
      </c>
      <c r="C22" s="2" t="s">
        <v>472</v>
      </c>
      <c r="D22" s="2" t="s">
        <v>240</v>
      </c>
      <c r="E22" s="2" t="n">
        <v>4</v>
      </c>
      <c r="F22" s="2" t="n">
        <v>1</v>
      </c>
      <c r="G22" s="2" t="n">
        <v>1</v>
      </c>
      <c r="H22" s="2" t="n">
        <v>0</v>
      </c>
      <c r="I22" s="2" t="n">
        <v>4</v>
      </c>
      <c r="J22" s="2" t="n">
        <v>0</v>
      </c>
      <c r="K22" s="2" t="str">
        <f aca="false">IF(H22=0,"Critical gap",IF(H22&lt;3,"Thin bench","OK"))</f>
        <v>Critical gap</v>
      </c>
    </row>
    <row r="23" customFormat="false" ht="15" hidden="false" customHeight="false" outlineLevel="0" collapsed="false">
      <c r="A23" s="2" t="s">
        <v>794</v>
      </c>
      <c r="B23" s="2" t="s">
        <v>795</v>
      </c>
      <c r="C23" s="2" t="s">
        <v>472</v>
      </c>
      <c r="D23" s="2" t="s">
        <v>796</v>
      </c>
      <c r="E23" s="2" t="n">
        <v>3</v>
      </c>
      <c r="F23" s="2" t="n">
        <v>0</v>
      </c>
      <c r="G23" s="2" t="n">
        <v>2</v>
      </c>
      <c r="H23" s="2" t="n">
        <v>1</v>
      </c>
      <c r="I23" s="2" t="n">
        <v>4</v>
      </c>
      <c r="J23" s="2" t="n">
        <v>1</v>
      </c>
      <c r="K23" s="2" t="str">
        <f aca="false">IF(H23=0,"Critical gap",IF(H23&lt;3,"Thin bench","OK"))</f>
        <v>Thin bench</v>
      </c>
    </row>
    <row r="24" customFormat="false" ht="15" hidden="false" customHeight="false" outlineLevel="0" collapsed="false">
      <c r="A24" s="2" t="s">
        <v>797</v>
      </c>
      <c r="B24" s="2" t="s">
        <v>798</v>
      </c>
      <c r="C24" s="2" t="s">
        <v>472</v>
      </c>
      <c r="D24" s="2" t="s">
        <v>240</v>
      </c>
      <c r="E24" s="2" t="n">
        <v>3</v>
      </c>
      <c r="F24" s="2" t="n">
        <v>0</v>
      </c>
      <c r="G24" s="2" t="n">
        <v>1</v>
      </c>
      <c r="H24" s="2" t="n">
        <v>0</v>
      </c>
      <c r="I24" s="2" t="n">
        <v>7</v>
      </c>
      <c r="J24" s="2" t="n">
        <v>2</v>
      </c>
      <c r="K24" s="2" t="str">
        <f aca="false">IF(H24=0,"Critical gap",IF(H24&lt;3,"Thin bench","OK"))</f>
        <v>Critical gap</v>
      </c>
    </row>
    <row r="25" customFormat="false" ht="15" hidden="false" customHeight="false" outlineLevel="0" collapsed="false">
      <c r="A25" s="2" t="s">
        <v>479</v>
      </c>
      <c r="B25" s="2" t="s">
        <v>480</v>
      </c>
      <c r="C25" s="2" t="s">
        <v>472</v>
      </c>
      <c r="D25" s="2" t="s">
        <v>481</v>
      </c>
      <c r="E25" s="2" t="n">
        <v>3</v>
      </c>
      <c r="F25" s="2" t="n">
        <v>1</v>
      </c>
      <c r="G25" s="2" t="n">
        <v>0</v>
      </c>
      <c r="H25" s="2" t="n">
        <v>0</v>
      </c>
      <c r="I25" s="2" t="n">
        <v>3</v>
      </c>
      <c r="J25" s="2" t="n">
        <v>1</v>
      </c>
      <c r="K25" s="2" t="str">
        <f aca="false">IF(H25=0,"Critical gap",IF(H25&lt;3,"Thin bench","OK"))</f>
        <v>Critical gap</v>
      </c>
    </row>
    <row r="26" customFormat="false" ht="15" hidden="false" customHeight="false" outlineLevel="0" collapsed="false">
      <c r="A26" s="2" t="s">
        <v>758</v>
      </c>
      <c r="B26" s="2" t="s">
        <v>799</v>
      </c>
      <c r="C26" s="2" t="s">
        <v>472</v>
      </c>
      <c r="D26" s="2" t="s">
        <v>286</v>
      </c>
      <c r="E26" s="2" t="n">
        <v>3</v>
      </c>
      <c r="F26" s="2" t="n">
        <v>0</v>
      </c>
      <c r="G26" s="2" t="n">
        <v>5</v>
      </c>
      <c r="H26" s="2" t="n">
        <v>5</v>
      </c>
      <c r="I26" s="2" t="n">
        <v>8</v>
      </c>
      <c r="J26" s="2" t="n">
        <v>1</v>
      </c>
      <c r="K26" s="2" t="str">
        <f aca="false">IF(H26=0,"Critical gap",IF(H26&lt;3,"Thin bench","OK"))</f>
        <v>OK</v>
      </c>
    </row>
    <row r="27" customFormat="false" ht="15" hidden="false" customHeight="false" outlineLevel="0" collapsed="false">
      <c r="A27" s="2" t="s">
        <v>800</v>
      </c>
      <c r="B27" s="2" t="s">
        <v>801</v>
      </c>
      <c r="C27" s="2" t="s">
        <v>456</v>
      </c>
      <c r="D27" s="2" t="s">
        <v>802</v>
      </c>
      <c r="E27" s="2" t="n">
        <v>4</v>
      </c>
      <c r="F27" s="2" t="n">
        <v>1</v>
      </c>
      <c r="G27" s="2" t="n">
        <v>1</v>
      </c>
      <c r="H27" s="2" t="n">
        <v>1</v>
      </c>
      <c r="I27" s="2" t="n">
        <v>4</v>
      </c>
      <c r="J27" s="2" t="n">
        <v>1</v>
      </c>
      <c r="K27" s="2" t="str">
        <f aca="false">IF(H27=0,"Critical gap",IF(H27&lt;3,"Thin bench","OK"))</f>
        <v>Thin bench</v>
      </c>
    </row>
    <row r="28" customFormat="false" ht="15" hidden="false" customHeight="false" outlineLevel="0" collapsed="false">
      <c r="A28" s="2" t="s">
        <v>475</v>
      </c>
      <c r="B28" s="2" t="s">
        <v>476</v>
      </c>
      <c r="C28" s="2" t="s">
        <v>456</v>
      </c>
      <c r="D28" s="2" t="s">
        <v>224</v>
      </c>
      <c r="E28" s="2" t="n">
        <v>4</v>
      </c>
      <c r="F28" s="2" t="n">
        <v>1</v>
      </c>
      <c r="G28" s="2" t="n">
        <v>0</v>
      </c>
      <c r="H28" s="2" t="n">
        <v>0</v>
      </c>
      <c r="I28" s="2" t="n">
        <v>6</v>
      </c>
      <c r="J28" s="2" t="n">
        <v>0</v>
      </c>
      <c r="K28" s="2" t="str">
        <f aca="false">IF(H28=0,"Critical gap",IF(H28&lt;3,"Thin bench","OK"))</f>
        <v>Critical gap</v>
      </c>
    </row>
    <row r="29" customFormat="false" ht="15" hidden="false" customHeight="false" outlineLevel="0" collapsed="false">
      <c r="A29" s="2" t="s">
        <v>454</v>
      </c>
      <c r="B29" s="2" t="s">
        <v>455</v>
      </c>
      <c r="C29" s="2" t="s">
        <v>456</v>
      </c>
      <c r="D29" s="2" t="s">
        <v>457</v>
      </c>
      <c r="E29" s="2" t="n">
        <v>3</v>
      </c>
      <c r="F29" s="2" t="n">
        <v>1</v>
      </c>
      <c r="G29" s="2" t="n">
        <v>1</v>
      </c>
      <c r="H29" s="2" t="n">
        <v>1</v>
      </c>
      <c r="I29" s="2" t="n">
        <v>6</v>
      </c>
      <c r="J29" s="2" t="n">
        <v>3</v>
      </c>
      <c r="K29" s="2" t="str">
        <f aca="false">IF(H29=0,"Critical gap",IF(H29&lt;3,"Thin bench","OK"))</f>
        <v>Thin bench</v>
      </c>
    </row>
    <row r="30" customFormat="false" ht="15" hidden="false" customHeight="false" outlineLevel="0" collapsed="false">
      <c r="A30" s="2" t="s">
        <v>713</v>
      </c>
      <c r="B30" s="2" t="s">
        <v>803</v>
      </c>
      <c r="C30" s="2" t="s">
        <v>804</v>
      </c>
      <c r="D30" s="2" t="s">
        <v>805</v>
      </c>
      <c r="E30" s="2" t="n">
        <v>3</v>
      </c>
      <c r="F30" s="2" t="n">
        <v>0</v>
      </c>
      <c r="G30" s="2" t="n">
        <v>3</v>
      </c>
      <c r="H30" s="2" t="n">
        <v>3</v>
      </c>
      <c r="I30" s="2" t="n">
        <v>5</v>
      </c>
      <c r="J30" s="2" t="n">
        <v>1</v>
      </c>
      <c r="K30" s="2" t="str">
        <f aca="false">IF(H30=0,"Critical gap",IF(H30&lt;3,"Thin bench","OK"))</f>
        <v>OK</v>
      </c>
    </row>
    <row r="31" customFormat="false" ht="15" hidden="false" customHeight="false" outlineLevel="0" collapsed="false">
      <c r="A31" s="2" t="s">
        <v>806</v>
      </c>
      <c r="B31" s="2" t="s">
        <v>807</v>
      </c>
      <c r="C31" s="2" t="s">
        <v>808</v>
      </c>
      <c r="D31" s="2" t="s">
        <v>262</v>
      </c>
      <c r="E31" s="2" t="n">
        <v>3</v>
      </c>
      <c r="F31" s="2" t="n">
        <v>1</v>
      </c>
      <c r="G31" s="2" t="n">
        <v>2</v>
      </c>
      <c r="H31" s="2" t="n">
        <v>1</v>
      </c>
      <c r="I31" s="2" t="n">
        <v>5</v>
      </c>
      <c r="J31" s="2" t="n">
        <v>1</v>
      </c>
      <c r="K31" s="2" t="str">
        <f aca="false">IF(H31=0,"Critical gap",IF(H31&lt;3,"Thin bench","OK"))</f>
        <v>Thin bench</v>
      </c>
    </row>
    <row r="32" customFormat="false" ht="15" hidden="false" customHeight="false" outlineLevel="0" collapsed="false">
      <c r="A32" s="2" t="s">
        <v>809</v>
      </c>
      <c r="B32" s="2" t="s">
        <v>810</v>
      </c>
      <c r="C32" s="2" t="s">
        <v>811</v>
      </c>
      <c r="D32" s="2" t="s">
        <v>262</v>
      </c>
      <c r="E32" s="2" t="n">
        <v>3</v>
      </c>
      <c r="F32" s="2" t="n">
        <v>0</v>
      </c>
      <c r="G32" s="2" t="n">
        <v>5</v>
      </c>
      <c r="H32" s="2" t="n">
        <v>5</v>
      </c>
      <c r="I32" s="2" t="n">
        <v>3</v>
      </c>
      <c r="J32" s="2" t="n">
        <v>0</v>
      </c>
      <c r="K32" s="2" t="str">
        <f aca="false">IF(H32=0,"Critical gap",IF(H32&lt;3,"Thin bench","OK"))</f>
        <v>OK</v>
      </c>
    </row>
    <row r="33" customFormat="false" ht="15" hidden="false" customHeight="false" outlineLevel="0" collapsed="false">
      <c r="A33" s="2" t="s">
        <v>812</v>
      </c>
      <c r="B33" s="2" t="s">
        <v>813</v>
      </c>
      <c r="C33" s="2" t="s">
        <v>814</v>
      </c>
      <c r="D33" s="2" t="s">
        <v>815</v>
      </c>
      <c r="E33" s="2" t="n">
        <v>2</v>
      </c>
      <c r="F33" s="2" t="n">
        <v>0</v>
      </c>
      <c r="G33" s="2" t="n">
        <v>11</v>
      </c>
      <c r="H33" s="2" t="n">
        <v>11</v>
      </c>
      <c r="I33" s="2" t="n">
        <v>49</v>
      </c>
      <c r="J33" s="2" t="n">
        <v>1</v>
      </c>
      <c r="K33" s="2" t="str">
        <f aca="false">IF(H33=0,"Critical gap",IF(H33&lt;3,"Thin bench","OK"))</f>
        <v>OK</v>
      </c>
    </row>
    <row r="34" customFormat="false" ht="15" hidden="false" customHeight="false" outlineLevel="0" collapsed="false">
      <c r="A34" s="2" t="s">
        <v>507</v>
      </c>
      <c r="B34" s="2" t="s">
        <v>508</v>
      </c>
      <c r="C34" s="2" t="s">
        <v>509</v>
      </c>
      <c r="D34" s="2" t="s">
        <v>510</v>
      </c>
      <c r="E34" s="2" t="n">
        <v>2</v>
      </c>
      <c r="F34" s="2" t="n">
        <v>0</v>
      </c>
      <c r="G34" s="2" t="n">
        <v>3</v>
      </c>
      <c r="H34" s="2" t="n">
        <v>2</v>
      </c>
      <c r="I34" s="2" t="n">
        <v>57</v>
      </c>
      <c r="J34" s="2" t="n">
        <v>2</v>
      </c>
      <c r="K34" s="2" t="str">
        <f aca="false">IF(H34=0,"Critical gap",IF(H34&lt;3,"Thin bench","OK"))</f>
        <v>Thin bench</v>
      </c>
    </row>
  </sheetData>
  <autoFilter ref="A1:K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3" t="s">
        <v>816</v>
      </c>
      <c r="B1" s="3" t="s">
        <v>817</v>
      </c>
      <c r="C1" s="3" t="s">
        <v>541</v>
      </c>
      <c r="D1" s="3" t="s">
        <v>818</v>
      </c>
      <c r="E1" s="3" t="s">
        <v>819</v>
      </c>
      <c r="F1" s="3" t="s">
        <v>820</v>
      </c>
      <c r="G1" s="3" t="s">
        <v>821</v>
      </c>
      <c r="H1" s="3" t="s">
        <v>822</v>
      </c>
      <c r="I1" s="3" t="s">
        <v>823</v>
      </c>
    </row>
    <row r="2" customFormat="false" ht="15" hidden="false" customHeight="false" outlineLevel="0" collapsed="false">
      <c r="A2" s="2" t="s">
        <v>489</v>
      </c>
      <c r="B2" s="2" t="str">
        <f aca="false">E2&amp;IF(E2=1," Employee"," Employees")</f>
        <v>5 Employees</v>
      </c>
      <c r="C2" s="2" t="str">
        <f aca="false">IFERROR(INDEX(training_recommendations!$L$2:$L$34,MATCH(1,INDEX((training_recommendations!$G$2:$G$34=A2)*(training_recommendations!$AC$2:$AC$34="recommended"),0),0)),"")</f>
        <v>Advanced React Patterns</v>
      </c>
      <c r="D2" s="2" t="str">
        <f aca="false">IF(E2=0,"No action",IF(LEFT(C2,10)="Mentorship","Assign Mentor","Assign Upskilling Course"))</f>
        <v>Assign Upskilling Course</v>
      </c>
      <c r="E2" s="2" t="n">
        <f aca="false">COUNTIFS(employee_skill_gaps!$G$2:$G$34,A2,employee_skill_gaps!$R$2:$R$34,"Open")</f>
        <v>5</v>
      </c>
      <c r="F2" s="2" t="n">
        <f aca="false">COUNTIFS(employee_skill_gaps!$G$2:$G$34,A2,employee_skill_gaps!$R$2:$R$34,"In training")</f>
        <v>0</v>
      </c>
      <c r="G2" s="2" t="n">
        <f aca="false">COUNTIFS(employee_skill_gaps!$G$2:$G$34,A2,employee_skill_gaps!$R$2:$R$34,"Open",employee_skill_gaps!$P$2:$P$34,1)</f>
        <v>3</v>
      </c>
      <c r="H2" s="10" t="n">
        <f aca="false">IFERROR(AVERAGEIFS(employee_skill_gaps!$L$2:$L$34,employee_skill_gaps!$G$2:$G$34,A2,employee_skill_gaps!$R$2:$R$34,"Open"),0)</f>
        <v>1</v>
      </c>
      <c r="I2" s="2" t="str">
        <f aca="false">IF(COUNTIFS(training_recommendations!$G$2:$G$34,A2,training_recommendations!$U$2:$U$34,"High")&gt;0,"High",IF(COUNTIFS(training_recommendations!$G$2:$G$34,A2,training_recommendations!$U$2:$U$34,"Medium")&gt;0,"Medium","Low"))</f>
        <v>Medium</v>
      </c>
    </row>
    <row r="3" customFormat="false" ht="15" hidden="false" customHeight="false" outlineLevel="0" collapsed="false">
      <c r="A3" s="2" t="s">
        <v>257</v>
      </c>
      <c r="B3" s="2" t="str">
        <f aca="false">E3&amp;IF(E3=1," Employee"," Employees")</f>
        <v>3 Employees</v>
      </c>
      <c r="C3" s="2" t="str">
        <f aca="false">IFERROR(INDEX(training_recommendations!$L$2:$L$34,MATCH(1,INDEX((training_recommendations!$G$2:$G$34=A3)*(training_recommendations!$AC$2:$AC$34="recommended"),0),0)),"")</f>
        <v>Advanced SQL and Query Tuning</v>
      </c>
      <c r="D3" s="2" t="str">
        <f aca="false">IF(E3=0,"No action",IF(LEFT(C3,10)="Mentorship","Assign Mentor","Assign Upskilling Course"))</f>
        <v>Assign Upskilling Course</v>
      </c>
      <c r="E3" s="2" t="n">
        <f aca="false">COUNTIFS(employee_skill_gaps!$G$2:$G$34,A3,employee_skill_gaps!$R$2:$R$34,"Open")</f>
        <v>3</v>
      </c>
      <c r="F3" s="2" t="n">
        <f aca="false">COUNTIFS(employee_skill_gaps!$G$2:$G$34,A3,employee_skill_gaps!$R$2:$R$34,"In training")</f>
        <v>0</v>
      </c>
      <c r="G3" s="2" t="n">
        <f aca="false">COUNTIFS(employee_skill_gaps!$G$2:$G$34,A3,employee_skill_gaps!$R$2:$R$34,"Open",employee_skill_gaps!$P$2:$P$34,1)</f>
        <v>1</v>
      </c>
      <c r="H3" s="10" t="n">
        <f aca="false">IFERROR(AVERAGEIFS(employee_skill_gaps!$L$2:$L$34,employee_skill_gaps!$G$2:$G$34,A3,employee_skill_gaps!$R$2:$R$34,"Open"),0)</f>
        <v>1</v>
      </c>
      <c r="I3" s="2" t="str">
        <f aca="false">IF(COUNTIFS(training_recommendations!$G$2:$G$34,A3,training_recommendations!$U$2:$U$34,"High")&gt;0,"High",IF(COUNTIFS(training_recommendations!$G$2:$G$34,A3,training_recommendations!$U$2:$U$34,"Medium")&gt;0,"Medium","Low"))</f>
        <v>High</v>
      </c>
    </row>
    <row r="4" customFormat="false" ht="15" hidden="false" customHeight="false" outlineLevel="0" collapsed="false">
      <c r="A4" s="2" t="s">
        <v>449</v>
      </c>
      <c r="B4" s="2" t="str">
        <f aca="false">E4&amp;IF(E4=1," Employee"," Employees")</f>
        <v>3 Employees</v>
      </c>
      <c r="C4" s="2" t="str">
        <f aca="false">IFERROR(INDEX(training_recommendations!$L$2:$L$34,MATCH(1,INDEX((training_recommendations!$G$2:$G$34=A4)*(training_recommendations!$AC$2:$AC$34="recommended"),0),0)),"")</f>
        <v>Kubernetes for Application Developers</v>
      </c>
      <c r="D4" s="2" t="str">
        <f aca="false">IF(E4=0,"No action",IF(LEFT(C4,10)="Mentorship","Assign Mentor","Assign Upskilling Course"))</f>
        <v>Assign Upskilling Course</v>
      </c>
      <c r="E4" s="2" t="n">
        <f aca="false">COUNTIFS(employee_skill_gaps!$G$2:$G$34,A4,employee_skill_gaps!$R$2:$R$34,"Open")</f>
        <v>3</v>
      </c>
      <c r="F4" s="2" t="n">
        <f aca="false">COUNTIFS(employee_skill_gaps!$G$2:$G$34,A4,employee_skill_gaps!$R$2:$R$34,"In training")</f>
        <v>0</v>
      </c>
      <c r="G4" s="2" t="n">
        <f aca="false">COUNTIFS(employee_skill_gaps!$G$2:$G$34,A4,employee_skill_gaps!$R$2:$R$34,"Open",employee_skill_gaps!$P$2:$P$34,1)</f>
        <v>3</v>
      </c>
      <c r="H4" s="10" t="n">
        <f aca="false">IFERROR(AVERAGEIFS(employee_skill_gaps!$L$2:$L$34,employee_skill_gaps!$G$2:$G$34,A4,employee_skill_gaps!$R$2:$R$34,"Open"),0)</f>
        <v>2</v>
      </c>
      <c r="I4" s="2" t="str">
        <f aca="false">IF(COUNTIFS(training_recommendations!$G$2:$G$34,A4,training_recommendations!$U$2:$U$34,"High")&gt;0,"High",IF(COUNTIFS(training_recommendations!$G$2:$G$34,A4,training_recommendations!$U$2:$U$34,"Medium")&gt;0,"Medium","Low"))</f>
        <v>High</v>
      </c>
    </row>
    <row r="5" customFormat="false" ht="15" hidden="false" customHeight="false" outlineLevel="0" collapsed="false">
      <c r="A5" s="2" t="s">
        <v>249</v>
      </c>
      <c r="B5" s="2" t="str">
        <f aca="false">E5&amp;IF(E5=1," Employee"," Employees")</f>
        <v>3 Employees</v>
      </c>
      <c r="C5" s="2" t="str">
        <f aca="false">IFERROR(INDEX(training_recommendations!$L$2:$L$34,MATCH(1,INDEX((training_recommendations!$G$2:$G$34=A5)*(training_recommendations!$AC$2:$AC$34="recommended"),0),0)),"")</f>
        <v>Python for Professionals</v>
      </c>
      <c r="D5" s="2" t="str">
        <f aca="false">IF(E5=0,"No action",IF(LEFT(C5,10)="Mentorship","Assign Mentor","Assign Upskilling Course"))</f>
        <v>Assign Upskilling Course</v>
      </c>
      <c r="E5" s="2" t="n">
        <f aca="false">COUNTIFS(employee_skill_gaps!$G$2:$G$34,A5,employee_skill_gaps!$R$2:$R$34,"Open")</f>
        <v>3</v>
      </c>
      <c r="F5" s="2" t="n">
        <f aca="false">COUNTIFS(employee_skill_gaps!$G$2:$G$34,A5,employee_skill_gaps!$R$2:$R$34,"In training")</f>
        <v>0</v>
      </c>
      <c r="G5" s="2" t="n">
        <f aca="false">COUNTIFS(employee_skill_gaps!$G$2:$G$34,A5,employee_skill_gaps!$R$2:$R$34,"Open",employee_skill_gaps!$P$2:$P$34,1)</f>
        <v>0</v>
      </c>
      <c r="H5" s="10" t="n">
        <f aca="false">IFERROR(AVERAGEIFS(employee_skill_gaps!$L$2:$L$34,employee_skill_gaps!$G$2:$G$34,A5,employee_skill_gaps!$R$2:$R$34,"Open"),0)</f>
        <v>1</v>
      </c>
      <c r="I5" s="2" t="str">
        <f aca="false">IF(COUNTIFS(training_recommendations!$G$2:$G$34,A5,training_recommendations!$U$2:$U$34,"High")&gt;0,"High",IF(COUNTIFS(training_recommendations!$G$2:$G$34,A5,training_recommendations!$U$2:$U$34,"Medium")&gt;0,"Medium","Low"))</f>
        <v>Medium</v>
      </c>
    </row>
    <row r="6" customFormat="false" ht="15" hidden="false" customHeight="false" outlineLevel="0" collapsed="false">
      <c r="A6" s="2" t="s">
        <v>423</v>
      </c>
      <c r="B6" s="2" t="str">
        <f aca="false">E6&amp;IF(E6=1," Employee"," Employees")</f>
        <v>2 Employees</v>
      </c>
      <c r="C6" s="2" t="str">
        <f aca="false">IFERROR(INDEX(training_recommendations!$L$2:$L$34,MATCH(1,INDEX((training_recommendations!$G$2:$G$34=A6)*(training_recommendations!$AC$2:$AC$34="recommended"),0),0)),"")</f>
        <v>Mentorship / pair assignment (no catalog course)</v>
      </c>
      <c r="D6" s="2" t="str">
        <f aca="false">IF(E6=0,"No action",IF(LEFT(C6,10)="Mentorship","Assign Mentor","Assign Upskilling Course"))</f>
        <v>Assign Mentor</v>
      </c>
      <c r="E6" s="2" t="n">
        <f aca="false">COUNTIFS(employee_skill_gaps!$G$2:$G$34,A6,employee_skill_gaps!$R$2:$R$34,"Open")</f>
        <v>2</v>
      </c>
      <c r="F6" s="2" t="n">
        <f aca="false">COUNTIFS(employee_skill_gaps!$G$2:$G$34,A6,employee_skill_gaps!$R$2:$R$34,"In training")</f>
        <v>0</v>
      </c>
      <c r="G6" s="2" t="n">
        <f aca="false">COUNTIFS(employee_skill_gaps!$G$2:$G$34,A6,employee_skill_gaps!$R$2:$R$34,"Open",employee_skill_gaps!$P$2:$P$34,1)</f>
        <v>0</v>
      </c>
      <c r="H6" s="10" t="n">
        <f aca="false">IFERROR(AVERAGEIFS(employee_skill_gaps!$L$2:$L$34,employee_skill_gaps!$G$2:$G$34,A6,employee_skill_gaps!$R$2:$R$34,"Open"),0)</f>
        <v>1</v>
      </c>
      <c r="I6" s="2" t="str">
        <f aca="false">IF(COUNTIFS(training_recommendations!$G$2:$G$34,A6,training_recommendations!$U$2:$U$34,"High")&gt;0,"High",IF(COUNTIFS(training_recommendations!$G$2:$G$34,A6,training_recommendations!$U$2:$U$34,"Medium")&gt;0,"Medium","Low"))</f>
        <v>Medium</v>
      </c>
    </row>
    <row r="7" customFormat="false" ht="15" hidden="false" customHeight="false" outlineLevel="0" collapsed="false">
      <c r="A7" s="2" t="s">
        <v>445</v>
      </c>
      <c r="B7" s="2" t="str">
        <f aca="false">E7&amp;IF(E7=1," Employee"," Employees")</f>
        <v>2 Employees</v>
      </c>
      <c r="C7" s="2" t="str">
        <f aca="false">IFERROR(INDEX(training_recommendations!$L$2:$L$34,MATCH(1,INDEX((training_recommendations!$G$2:$G$34=A7)*(training_recommendations!$AC$2:$AC$34="recommended"),0),0)),"")</f>
        <v>Docker in Practice</v>
      </c>
      <c r="D7" s="2" t="str">
        <f aca="false">IF(E7=0,"No action",IF(LEFT(C7,10)="Mentorship","Assign Mentor","Assign Upskilling Course"))</f>
        <v>Assign Upskilling Course</v>
      </c>
      <c r="E7" s="2" t="n">
        <f aca="false">COUNTIFS(employee_skill_gaps!$G$2:$G$34,A7,employee_skill_gaps!$R$2:$R$34,"Open")</f>
        <v>2</v>
      </c>
      <c r="F7" s="2" t="n">
        <f aca="false">COUNTIFS(employee_skill_gaps!$G$2:$G$34,A7,employee_skill_gaps!$R$2:$R$34,"In training")</f>
        <v>0</v>
      </c>
      <c r="G7" s="2" t="n">
        <f aca="false">COUNTIFS(employee_skill_gaps!$G$2:$G$34,A7,employee_skill_gaps!$R$2:$R$34,"Open",employee_skill_gaps!$P$2:$P$34,1)</f>
        <v>0</v>
      </c>
      <c r="H7" s="10" t="n">
        <f aca="false">IFERROR(AVERAGEIFS(employee_skill_gaps!$L$2:$L$34,employee_skill_gaps!$G$2:$G$34,A7,employee_skill_gaps!$R$2:$R$34,"Open"),0)</f>
        <v>1</v>
      </c>
      <c r="I7" s="2" t="str">
        <f aca="false">IF(COUNTIFS(training_recommendations!$G$2:$G$34,A7,training_recommendations!$U$2:$U$34,"High")&gt;0,"High",IF(COUNTIFS(training_recommendations!$G$2:$G$34,A7,training_recommendations!$U$2:$U$34,"Medium")&gt;0,"Medium","Low"))</f>
        <v>Medium</v>
      </c>
    </row>
    <row r="8" customFormat="false" ht="15" hidden="false" customHeight="false" outlineLevel="0" collapsed="false">
      <c r="A8" s="2" t="s">
        <v>281</v>
      </c>
      <c r="B8" s="2" t="str">
        <f aca="false">E8&amp;IF(E8=1," Employee"," Employees")</f>
        <v>1 Employee</v>
      </c>
      <c r="C8" s="2" t="str">
        <f aca="false">IFERROR(INDEX(training_recommendations!$L$2:$L$34,MATCH(1,INDEX((training_recommendations!$G$2:$G$34=A8)*(training_recommendations!$AC$2:$AC$34="recommended"),0),0)),"")</f>
        <v>Linux System Administration</v>
      </c>
      <c r="D8" s="2" t="str">
        <f aca="false">IF(E8=0,"No action",IF(LEFT(C8,10)="Mentorship","Assign Mentor","Assign Upskilling Course"))</f>
        <v>Assign Upskilling Course</v>
      </c>
      <c r="E8" s="2" t="n">
        <f aca="false">COUNTIFS(employee_skill_gaps!$G$2:$G$34,A8,employee_skill_gaps!$R$2:$R$34,"Open")</f>
        <v>1</v>
      </c>
      <c r="F8" s="2" t="n">
        <f aca="false">COUNTIFS(employee_skill_gaps!$G$2:$G$34,A8,employee_skill_gaps!$R$2:$R$34,"In training")</f>
        <v>0</v>
      </c>
      <c r="G8" s="2" t="n">
        <f aca="false">COUNTIFS(employee_skill_gaps!$G$2:$G$34,A8,employee_skill_gaps!$R$2:$R$34,"Open",employee_skill_gaps!$P$2:$P$34,1)</f>
        <v>1</v>
      </c>
      <c r="H8" s="10" t="n">
        <f aca="false">IFERROR(AVERAGEIFS(employee_skill_gaps!$L$2:$L$34,employee_skill_gaps!$G$2:$G$34,A8,employee_skill_gaps!$R$2:$R$34,"Open"),0)</f>
        <v>1</v>
      </c>
      <c r="I8" s="2" t="str">
        <f aca="false">IF(COUNTIFS(training_recommendations!$G$2:$G$34,A8,training_recommendations!$U$2:$U$34,"High")&gt;0,"High",IF(COUNTIFS(training_recommendations!$G$2:$G$34,A8,training_recommendations!$U$2:$U$34,"Medium")&gt;0,"Medium","Low"))</f>
        <v>High</v>
      </c>
    </row>
    <row r="9" customFormat="false" ht="15" hidden="false" customHeight="false" outlineLevel="0" collapsed="false">
      <c r="A9" s="2" t="s">
        <v>428</v>
      </c>
      <c r="B9" s="2" t="str">
        <f aca="false">E9&amp;IF(E9=1," Employee"," Employees")</f>
        <v>1 Employee</v>
      </c>
      <c r="C9" s="2" t="str">
        <f aca="false">IFERROR(INDEX(training_recommendations!$L$2:$L$34,MATCH(1,INDEX((training_recommendations!$G$2:$G$34=A9)*(training_recommendations!$AC$2:$AC$34="recommended"),0),0)),"")</f>
        <v>Mentorship / pair assignment (no catalog course)</v>
      </c>
      <c r="D9" s="2" t="str">
        <f aca="false">IF(E9=0,"No action",IF(LEFT(C9,10)="Mentorship","Assign Mentor","Assign Upskilling Course"))</f>
        <v>Assign Mentor</v>
      </c>
      <c r="E9" s="2" t="n">
        <f aca="false">COUNTIFS(employee_skill_gaps!$G$2:$G$34,A9,employee_skill_gaps!$R$2:$R$34,"Open")</f>
        <v>1</v>
      </c>
      <c r="F9" s="2" t="n">
        <f aca="false">COUNTIFS(employee_skill_gaps!$G$2:$G$34,A9,employee_skill_gaps!$R$2:$R$34,"In training")</f>
        <v>0</v>
      </c>
      <c r="G9" s="2" t="n">
        <f aca="false">COUNTIFS(employee_skill_gaps!$G$2:$G$34,A9,employee_skill_gaps!$R$2:$R$34,"Open",employee_skill_gaps!$P$2:$P$34,1)</f>
        <v>0</v>
      </c>
      <c r="H9" s="10" t="n">
        <f aca="false">IFERROR(AVERAGEIFS(employee_skill_gaps!$L$2:$L$34,employee_skill_gaps!$G$2:$G$34,A9,employee_skill_gaps!$R$2:$R$34,"Open"),0)</f>
        <v>1</v>
      </c>
      <c r="I9" s="2" t="str">
        <f aca="false">IF(COUNTIFS(training_recommendations!$G$2:$G$34,A9,training_recommendations!$U$2:$U$34,"High")&gt;0,"High",IF(COUNTIFS(training_recommendations!$G$2:$G$34,A9,training_recommendations!$U$2:$U$34,"Medium")&gt;0,"Medium","Low"))</f>
        <v>Medium</v>
      </c>
    </row>
    <row r="10" customFormat="false" ht="15" hidden="false" customHeight="false" outlineLevel="0" collapsed="false">
      <c r="A10" s="2" t="s">
        <v>435</v>
      </c>
      <c r="B10" s="2" t="str">
        <f aca="false">E10&amp;IF(E10=1," Employee"," Employees")</f>
        <v>1 Employee</v>
      </c>
      <c r="C10" s="2" t="str">
        <f aca="false">IFERROR(INDEX(training_recommendations!$L$2:$L$34,MATCH(1,INDEX((training_recommendations!$G$2:$G$34=A10)*(training_recommendations!$AC$2:$AC$34="recommended"),0),0)),"")</f>
        <v>CI/CD Pipelines with GitHub Actions</v>
      </c>
      <c r="D10" s="2" t="str">
        <f aca="false">IF(E10=0,"No action",IF(LEFT(C10,10)="Mentorship","Assign Mentor","Assign Upskilling Course"))</f>
        <v>Assign Upskilling Course</v>
      </c>
      <c r="E10" s="2" t="n">
        <f aca="false">COUNTIFS(employee_skill_gaps!$G$2:$G$34,A10,employee_skill_gaps!$R$2:$R$34,"Open")</f>
        <v>1</v>
      </c>
      <c r="F10" s="2" t="n">
        <f aca="false">COUNTIFS(employee_skill_gaps!$G$2:$G$34,A10,employee_skill_gaps!$R$2:$R$34,"In training")</f>
        <v>0</v>
      </c>
      <c r="G10" s="2" t="n">
        <f aca="false">COUNTIFS(employee_skill_gaps!$G$2:$G$34,A10,employee_skill_gaps!$R$2:$R$34,"Open",employee_skill_gaps!$P$2:$P$34,1)</f>
        <v>0</v>
      </c>
      <c r="H10" s="10" t="n">
        <f aca="false">IFERROR(AVERAGEIFS(employee_skill_gaps!$L$2:$L$34,employee_skill_gaps!$G$2:$G$34,A10,employee_skill_gaps!$R$2:$R$34,"Open"),0)</f>
        <v>1</v>
      </c>
      <c r="I10" s="2" t="str">
        <f aca="false">IF(COUNTIFS(training_recommendations!$G$2:$G$34,A10,training_recommendations!$U$2:$U$34,"High")&gt;0,"High",IF(COUNTIFS(training_recommendations!$G$2:$G$34,A10,training_recommendations!$U$2:$U$34,"Medium")&gt;0,"Medium","Low"))</f>
        <v>Low</v>
      </c>
    </row>
    <row r="11" customFormat="false" ht="15" hidden="false" customHeight="false" outlineLevel="0" collapsed="false">
      <c r="A11" s="2" t="s">
        <v>439</v>
      </c>
      <c r="B11" s="2" t="str">
        <f aca="false">E11&amp;IF(E11=1," Employee"," Employees")</f>
        <v>1 Employee</v>
      </c>
      <c r="C11" s="2" t="str">
        <f aca="false">IFERROR(INDEX(training_recommendations!$L$2:$L$34,MATCH(1,INDEX((training_recommendations!$G$2:$G$34=A11)*(training_recommendations!$AC$2:$AC$34="recommended"),0),0)),"")</f>
        <v>Spring Boot Microservices</v>
      </c>
      <c r="D11" s="2" t="str">
        <f aca="false">IF(E11=0,"No action",IF(LEFT(C11,10)="Mentorship","Assign Mentor","Assign Upskilling Course"))</f>
        <v>Assign Upskilling Course</v>
      </c>
      <c r="E11" s="2" t="n">
        <f aca="false">COUNTIFS(employee_skill_gaps!$G$2:$G$34,A11,employee_skill_gaps!$R$2:$R$34,"Open")</f>
        <v>1</v>
      </c>
      <c r="F11" s="2" t="n">
        <f aca="false">COUNTIFS(employee_skill_gaps!$G$2:$G$34,A11,employee_skill_gaps!$R$2:$R$34,"In training")</f>
        <v>0</v>
      </c>
      <c r="G11" s="2" t="n">
        <f aca="false">COUNTIFS(employee_skill_gaps!$G$2:$G$34,A11,employee_skill_gaps!$R$2:$R$34,"Open",employee_skill_gaps!$P$2:$P$34,1)</f>
        <v>0</v>
      </c>
      <c r="H11" s="10" t="n">
        <f aca="false">IFERROR(AVERAGEIFS(employee_skill_gaps!$L$2:$L$34,employee_skill_gaps!$G$2:$G$34,A11,employee_skill_gaps!$R$2:$R$34,"Open"),0)</f>
        <v>1</v>
      </c>
      <c r="I11" s="2" t="str">
        <f aca="false">IF(COUNTIFS(training_recommendations!$G$2:$G$34,A11,training_recommendations!$U$2:$U$34,"High")&gt;0,"High",IF(COUNTIFS(training_recommendations!$G$2:$G$34,A11,training_recommendations!$U$2:$U$34,"Medium")&gt;0,"Medium","Low"))</f>
        <v>Medium</v>
      </c>
    </row>
    <row r="12" customFormat="false" ht="15" hidden="false" customHeight="false" outlineLevel="0" collapsed="false">
      <c r="A12" s="2" t="s">
        <v>465</v>
      </c>
      <c r="B12" s="2" t="str">
        <f aca="false">E12&amp;IF(E12=1," Employee"," Employees")</f>
        <v>1 Employee</v>
      </c>
      <c r="C12" s="2" t="str">
        <f aca="false">IFERROR(INDEX(training_recommendations!$L$2:$L$34,MATCH(1,INDEX((training_recommendations!$G$2:$G$34=A12)*(training_recommendations!$AC$2:$AC$34="recommended"),0),0)),"")</f>
        <v>AWS Solutions Architect Prep</v>
      </c>
      <c r="D12" s="2" t="str">
        <f aca="false">IF(E12=0,"No action",IF(LEFT(C12,10)="Mentorship","Assign Mentor","Assign Upskilling Course"))</f>
        <v>Assign Upskilling Course</v>
      </c>
      <c r="E12" s="2" t="n">
        <f aca="false">COUNTIFS(employee_skill_gaps!$G$2:$G$34,A12,employee_skill_gaps!$R$2:$R$34,"Open")</f>
        <v>1</v>
      </c>
      <c r="F12" s="2" t="n">
        <f aca="false">COUNTIFS(employee_skill_gaps!$G$2:$G$34,A12,employee_skill_gaps!$R$2:$R$34,"In training")</f>
        <v>0</v>
      </c>
      <c r="G12" s="2" t="n">
        <f aca="false">COUNTIFS(employee_skill_gaps!$G$2:$G$34,A12,employee_skill_gaps!$R$2:$R$34,"Open",employee_skill_gaps!$P$2:$P$34,1)</f>
        <v>0</v>
      </c>
      <c r="H12" s="10" t="n">
        <f aca="false">IFERROR(AVERAGEIFS(employee_skill_gaps!$L$2:$L$34,employee_skill_gaps!$G$2:$G$34,A12,employee_skill_gaps!$R$2:$R$34,"Open"),0)</f>
        <v>1</v>
      </c>
      <c r="I12" s="2" t="str">
        <f aca="false">IF(COUNTIFS(training_recommendations!$G$2:$G$34,A12,training_recommendations!$U$2:$U$34,"High")&gt;0,"High",IF(COUNTIFS(training_recommendations!$G$2:$G$34,A12,training_recommendations!$U$2:$U$34,"Medium")&gt;0,"Medium","Low"))</f>
        <v>Low</v>
      </c>
    </row>
    <row r="13" customFormat="false" ht="15" hidden="false" customHeight="false" outlineLevel="0" collapsed="false">
      <c r="A13" s="2" t="s">
        <v>455</v>
      </c>
      <c r="B13" s="2" t="str">
        <f aca="false">E13&amp;IF(E13=1," Employee"," Employees")</f>
        <v>1 Employee</v>
      </c>
      <c r="C13" s="2" t="str">
        <f aca="false">IFERROR(INDEX(training_recommendations!$L$2:$L$34,MATCH(1,INDEX((training_recommendations!$G$2:$G$34=A13)*(training_recommendations!$AC$2:$AC$34="recommended"),0),0)),"")</f>
        <v>MLOps Foundations</v>
      </c>
      <c r="D13" s="2" t="str">
        <f aca="false">IF(E13=0,"No action",IF(LEFT(C13,10)="Mentorship","Assign Mentor","Assign Upskilling Course"))</f>
        <v>Assign Upskilling Course</v>
      </c>
      <c r="E13" s="2" t="n">
        <f aca="false">COUNTIFS(employee_skill_gaps!$G$2:$G$34,A13,employee_skill_gaps!$R$2:$R$34,"Open")</f>
        <v>1</v>
      </c>
      <c r="F13" s="2" t="n">
        <f aca="false">COUNTIFS(employee_skill_gaps!$G$2:$G$34,A13,employee_skill_gaps!$R$2:$R$34,"In training")</f>
        <v>1</v>
      </c>
      <c r="G13" s="2" t="n">
        <f aca="false">COUNTIFS(employee_skill_gaps!$G$2:$G$34,A13,employee_skill_gaps!$R$2:$R$34,"Open",employee_skill_gaps!$P$2:$P$34,1)</f>
        <v>1</v>
      </c>
      <c r="H13" s="10" t="n">
        <f aca="false">IFERROR(AVERAGEIFS(employee_skill_gaps!$L$2:$L$34,employee_skill_gaps!$G$2:$G$34,A13,employee_skill_gaps!$R$2:$R$34,"Open"),0)</f>
        <v>2</v>
      </c>
      <c r="I13" s="2" t="str">
        <f aca="false">IF(COUNTIFS(training_recommendations!$G$2:$G$34,A13,training_recommendations!$U$2:$U$34,"High")&gt;0,"High",IF(COUNTIFS(training_recommendations!$G$2:$G$34,A13,training_recommendations!$U$2:$U$34,"Medium")&gt;0,"Medium","Low"))</f>
        <v>High</v>
      </c>
    </row>
    <row r="14" customFormat="false" ht="15" hidden="false" customHeight="false" outlineLevel="0" collapsed="false">
      <c r="A14" s="2" t="s">
        <v>471</v>
      </c>
      <c r="B14" s="2" t="str">
        <f aca="false">E14&amp;IF(E14=1," Employee"," Employees")</f>
        <v>1 Employee</v>
      </c>
      <c r="C14" s="2" t="str">
        <f aca="false">IFERROR(INDEX(training_recommendations!$L$2:$L$34,MATCH(1,INDEX((training_recommendations!$G$2:$G$34=A14)*(training_recommendations!$AC$2:$AC$34="recommended"),0),0)),"")</f>
        <v>Data Wrangling with Pandas</v>
      </c>
      <c r="D14" s="2" t="str">
        <f aca="false">IF(E14=0,"No action",IF(LEFT(C14,10)="Mentorship","Assign Mentor","Assign Upskilling Course"))</f>
        <v>Assign Upskilling Course</v>
      </c>
      <c r="E14" s="2" t="n">
        <f aca="false">COUNTIFS(employee_skill_gaps!$G$2:$G$34,A14,employee_skill_gaps!$R$2:$R$34,"Open")</f>
        <v>1</v>
      </c>
      <c r="F14" s="2" t="n">
        <f aca="false">COUNTIFS(employee_skill_gaps!$G$2:$G$34,A14,employee_skill_gaps!$R$2:$R$34,"In training")</f>
        <v>0</v>
      </c>
      <c r="G14" s="2" t="n">
        <f aca="false">COUNTIFS(employee_skill_gaps!$G$2:$G$34,A14,employee_skill_gaps!$R$2:$R$34,"Open",employee_skill_gaps!$P$2:$P$34,1)</f>
        <v>0</v>
      </c>
      <c r="H14" s="10" t="n">
        <f aca="false">IFERROR(AVERAGEIFS(employee_skill_gaps!$L$2:$L$34,employee_skill_gaps!$G$2:$G$34,A14,employee_skill_gaps!$R$2:$R$34,"Open"),0)</f>
        <v>1</v>
      </c>
      <c r="I14" s="2" t="str">
        <f aca="false">IF(COUNTIFS(training_recommendations!$G$2:$G$34,A14,training_recommendations!$U$2:$U$34,"High")&gt;0,"High",IF(COUNTIFS(training_recommendations!$G$2:$G$34,A14,training_recommendations!$U$2:$U$34,"Medium")&gt;0,"Medium","Low"))</f>
        <v>Medium</v>
      </c>
    </row>
    <row r="15" customFormat="false" ht="15" hidden="false" customHeight="false" outlineLevel="0" collapsed="false">
      <c r="A15" s="2" t="s">
        <v>476</v>
      </c>
      <c r="B15" s="2" t="str">
        <f aca="false">E15&amp;IF(E15=1," Employee"," Employees")</f>
        <v>1 Employee</v>
      </c>
      <c r="C15" s="2" t="str">
        <f aca="false">IFERROR(INDEX(training_recommendations!$L$2:$L$34,MATCH(1,INDEX((training_recommendations!$G$2:$G$34=A15)*(training_recommendations!$AC$2:$AC$34="recommended"),0),0)),"")</f>
        <v>NLP with Transformers</v>
      </c>
      <c r="D15" s="2" t="str">
        <f aca="false">IF(E15=0,"No action",IF(LEFT(C15,10)="Mentorship","Assign Mentor","Assign Upskilling Course"))</f>
        <v>Assign Upskilling Course</v>
      </c>
      <c r="E15" s="2" t="n">
        <f aca="false">COUNTIFS(employee_skill_gaps!$G$2:$G$34,A15,employee_skill_gaps!$R$2:$R$34,"Open")</f>
        <v>1</v>
      </c>
      <c r="F15" s="2" t="n">
        <f aca="false">COUNTIFS(employee_skill_gaps!$G$2:$G$34,A15,employee_skill_gaps!$R$2:$R$34,"In training")</f>
        <v>0</v>
      </c>
      <c r="G15" s="2" t="n">
        <f aca="false">COUNTIFS(employee_skill_gaps!$G$2:$G$34,A15,employee_skill_gaps!$R$2:$R$34,"Open",employee_skill_gaps!$P$2:$P$34,1)</f>
        <v>0</v>
      </c>
      <c r="H15" s="10" t="n">
        <f aca="false">IFERROR(AVERAGEIFS(employee_skill_gaps!$L$2:$L$34,employee_skill_gaps!$G$2:$G$34,A15,employee_skill_gaps!$R$2:$R$34,"Open"),0)</f>
        <v>1</v>
      </c>
      <c r="I15" s="2" t="str">
        <f aca="false">IF(COUNTIFS(training_recommendations!$G$2:$G$34,A15,training_recommendations!$U$2:$U$34,"High")&gt;0,"High",IF(COUNTIFS(training_recommendations!$G$2:$G$34,A15,training_recommendations!$U$2:$U$34,"Medium")&gt;0,"Medium","Low"))</f>
        <v>Medium</v>
      </c>
    </row>
    <row r="16" customFormat="false" ht="15" hidden="false" customHeight="false" outlineLevel="0" collapsed="false">
      <c r="A16" s="2" t="s">
        <v>480</v>
      </c>
      <c r="B16" s="2" t="str">
        <f aca="false">E16&amp;IF(E16=1," Employee"," Employees")</f>
        <v>1 Employee</v>
      </c>
      <c r="C16" s="2" t="str">
        <f aca="false">IFERROR(INDEX(training_recommendations!$L$2:$L$34,MATCH(1,INDEX((training_recommendations!$G$2:$G$34=A16)*(training_recommendations!$AC$2:$AC$34="recommended"),0),0)),"")</f>
        <v>Kafka Essentials</v>
      </c>
      <c r="D16" s="2" t="str">
        <f aca="false">IF(E16=0,"No action",IF(LEFT(C16,10)="Mentorship","Assign Mentor","Assign Upskilling Course"))</f>
        <v>Assign Upskilling Course</v>
      </c>
      <c r="E16" s="2" t="n">
        <f aca="false">COUNTIFS(employee_skill_gaps!$G$2:$G$34,A16,employee_skill_gaps!$R$2:$R$34,"Open")</f>
        <v>1</v>
      </c>
      <c r="F16" s="2" t="n">
        <f aca="false">COUNTIFS(employee_skill_gaps!$G$2:$G$34,A16,employee_skill_gaps!$R$2:$R$34,"In training")</f>
        <v>1</v>
      </c>
      <c r="G16" s="2" t="n">
        <f aca="false">COUNTIFS(employee_skill_gaps!$G$2:$G$34,A16,employee_skill_gaps!$R$2:$R$34,"Open",employee_skill_gaps!$P$2:$P$34,1)</f>
        <v>1</v>
      </c>
      <c r="H16" s="10" t="n">
        <f aca="false">IFERROR(AVERAGEIFS(employee_skill_gaps!$L$2:$L$34,employee_skill_gaps!$G$2:$G$34,A16,employee_skill_gaps!$R$2:$R$34,"Open"),0)</f>
        <v>2</v>
      </c>
      <c r="I16" s="2" t="str">
        <f aca="false">IF(COUNTIFS(training_recommendations!$G$2:$G$34,A16,training_recommendations!$U$2:$U$34,"High")&gt;0,"High",IF(COUNTIFS(training_recommendations!$G$2:$G$34,A16,training_recommendations!$U$2:$U$34,"Medium")&gt;0,"Medium","Low"))</f>
        <v>High</v>
      </c>
    </row>
    <row r="17" customFormat="false" ht="15" hidden="false" customHeight="false" outlineLevel="0" collapsed="false">
      <c r="A17" s="2" t="s">
        <v>493</v>
      </c>
      <c r="B17" s="2" t="str">
        <f aca="false">E17&amp;IF(E17=1," Employee"," Employees")</f>
        <v>1 Employee</v>
      </c>
      <c r="C17" s="2" t="str">
        <f aca="false">IFERROR(INDEX(training_recommendations!$L$2:$L$34,MATCH(1,INDEX((training_recommendations!$G$2:$G$34=A17)*(training_recommendations!$AC$2:$AC$34="recommended"),0),0)),"")</f>
        <v>Mentorship / pair assignment (no catalog course)</v>
      </c>
      <c r="D17" s="2" t="str">
        <f aca="false">IF(E17=0,"No action",IF(LEFT(C17,10)="Mentorship","Assign Mentor","Assign Upskilling Course"))</f>
        <v>Assign Mentor</v>
      </c>
      <c r="E17" s="2" t="n">
        <f aca="false">COUNTIFS(employee_skill_gaps!$G$2:$G$34,A17,employee_skill_gaps!$R$2:$R$34,"Open")</f>
        <v>1</v>
      </c>
      <c r="F17" s="2" t="n">
        <f aca="false">COUNTIFS(employee_skill_gaps!$G$2:$G$34,A17,employee_skill_gaps!$R$2:$R$34,"In training")</f>
        <v>0</v>
      </c>
      <c r="G17" s="2" t="n">
        <f aca="false">COUNTIFS(employee_skill_gaps!$G$2:$G$34,A17,employee_skill_gaps!$R$2:$R$34,"Open",employee_skill_gaps!$P$2:$P$34,1)</f>
        <v>0</v>
      </c>
      <c r="H17" s="10" t="n">
        <f aca="false">IFERROR(AVERAGEIFS(employee_skill_gaps!$L$2:$L$34,employee_skill_gaps!$G$2:$G$34,A17,employee_skill_gaps!$R$2:$R$34,"Open"),0)</f>
        <v>1</v>
      </c>
      <c r="I17" s="2" t="str">
        <f aca="false">IF(COUNTIFS(training_recommendations!$G$2:$G$34,A17,training_recommendations!$U$2:$U$34,"High")&gt;0,"High",IF(COUNTIFS(training_recommendations!$G$2:$G$34,A17,training_recommendations!$U$2:$U$34,"Medium")&gt;0,"Medium","Low"))</f>
        <v>Medium</v>
      </c>
    </row>
    <row r="18" customFormat="false" ht="15" hidden="false" customHeight="false" outlineLevel="0" collapsed="false">
      <c r="A18" s="2" t="s">
        <v>503</v>
      </c>
      <c r="B18" s="2" t="str">
        <f aca="false">E18&amp;IF(E18=1," Employee"," Employees")</f>
        <v>1 Employee</v>
      </c>
      <c r="C18" s="2" t="str">
        <f aca="false">IFERROR(INDEX(training_recommendations!$L$2:$L$34,MATCH(1,INDEX((training_recommendations!$G$2:$G$34=A18)*(training_recommendations!$AC$2:$AC$34="recommended"),0),0)),"")</f>
        <v>Mentorship / pair assignment (no catalog course)</v>
      </c>
      <c r="D18" s="2" t="str">
        <f aca="false">IF(E18=0,"No action",IF(LEFT(C18,10)="Mentorship","Assign Mentor","Assign Upskilling Course"))</f>
        <v>Assign Mentor</v>
      </c>
      <c r="E18" s="2" t="n">
        <f aca="false">COUNTIFS(employee_skill_gaps!$G$2:$G$34,A18,employee_skill_gaps!$R$2:$R$34,"Open")</f>
        <v>1</v>
      </c>
      <c r="F18" s="2" t="n">
        <f aca="false">COUNTIFS(employee_skill_gaps!$G$2:$G$34,A18,employee_skill_gaps!$R$2:$R$34,"In training")</f>
        <v>0</v>
      </c>
      <c r="G18" s="2" t="n">
        <f aca="false">COUNTIFS(employee_skill_gaps!$G$2:$G$34,A18,employee_skill_gaps!$R$2:$R$34,"Open",employee_skill_gaps!$P$2:$P$34,1)</f>
        <v>0</v>
      </c>
      <c r="H18" s="10" t="n">
        <f aca="false">IFERROR(AVERAGEIFS(employee_skill_gaps!$L$2:$L$34,employee_skill_gaps!$G$2:$G$34,A18,employee_skill_gaps!$R$2:$R$34,"Open"),0)</f>
        <v>1</v>
      </c>
      <c r="I18" s="2" t="str">
        <f aca="false">IF(COUNTIFS(training_recommendations!$G$2:$G$34,A18,training_recommendations!$U$2:$U$34,"High")&gt;0,"High",IF(COUNTIFS(training_recommendations!$G$2:$G$34,A18,training_recommendations!$U$2:$U$34,"Medium")&gt;0,"Medium","Low"))</f>
        <v>Medium</v>
      </c>
    </row>
    <row r="19" customFormat="false" ht="15" hidden="false" customHeight="false" outlineLevel="0" collapsed="false">
      <c r="A19" s="2" t="s">
        <v>265</v>
      </c>
      <c r="B19" s="2" t="str">
        <f aca="false">E19&amp;IF(E19=1," Employee"," Employees")</f>
        <v>1 Employee</v>
      </c>
      <c r="C19" s="2" t="str">
        <f aca="false">IFERROR(INDEX(training_recommendations!$L$2:$L$34,MATCH(1,INDEX((training_recommendations!$G$2:$G$34=A19)*(training_recommendations!$AC$2:$AC$34="recommended"),0),0)),"")</f>
        <v>Node.js Services at Scale</v>
      </c>
      <c r="D19" s="2" t="str">
        <f aca="false">IF(E19=0,"No action",IF(LEFT(C19,10)="Mentorship","Assign Mentor","Assign Upskilling Course"))</f>
        <v>Assign Upskilling Course</v>
      </c>
      <c r="E19" s="2" t="n">
        <f aca="false">COUNTIFS(employee_skill_gaps!$G$2:$G$34,A19,employee_skill_gaps!$R$2:$R$34,"Open")</f>
        <v>1</v>
      </c>
      <c r="F19" s="2" t="n">
        <f aca="false">COUNTIFS(employee_skill_gaps!$G$2:$G$34,A19,employee_skill_gaps!$R$2:$R$34,"In training")</f>
        <v>0</v>
      </c>
      <c r="G19" s="2" t="n">
        <f aca="false">COUNTIFS(employee_skill_gaps!$G$2:$G$34,A19,employee_skill_gaps!$R$2:$R$34,"Open",employee_skill_gaps!$P$2:$P$34,1)</f>
        <v>1</v>
      </c>
      <c r="H19" s="10" t="n">
        <f aca="false">IFERROR(AVERAGEIFS(employee_skill_gaps!$L$2:$L$34,employee_skill_gaps!$G$2:$G$34,A19,employee_skill_gaps!$R$2:$R$34,"Open"),0)</f>
        <v>1</v>
      </c>
      <c r="I19" s="2" t="str">
        <f aca="false">IF(COUNTIFS(training_recommendations!$G$2:$G$34,A19,training_recommendations!$U$2:$U$34,"High")&gt;0,"High",IF(COUNTIFS(training_recommendations!$G$2:$G$34,A19,training_recommendations!$U$2:$U$34,"Medium")&gt;0,"Medium","Low"))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2026-10-15T08:29:16Z</dcterms:created>
  <dc:creator>openpyxl</dc:creator>
  <dc:description/>
  <dc:language>en-US</dc:language>
  <cp:lastModifiedBy/>
  <dcterms:modified xsi:type="dcterms:W3CDTF">2026-10-15T08:29:16Z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